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  <sheet name="Marketplaces" sheetId="2" state="visible" r:id="rId2"/>
    <sheet name="Software" sheetId="3" state="visible" r:id="rId3"/>
    <sheet name="DC Index (Master)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64748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172A"/>
      <sz val="10"/>
    </font>
    <font>
      <name val="Arial"/>
      <b val="1"/>
      <sz val="10"/>
    </font>
    <font>
      <name val="Arial"/>
      <color rgb="00B45309"/>
      <sz val="10"/>
    </font>
    <font>
      <name val="Arial"/>
      <b val="1"/>
      <sz val="9"/>
    </font>
    <font>
      <name val="Arial"/>
      <color rgb="0010B981"/>
      <sz val="10"/>
    </font>
    <font>
      <name val="Arial"/>
      <color rgb="00EF4444"/>
      <sz val="10"/>
    </font>
    <font>
      <name val="Arial"/>
      <b val="1"/>
      <color rgb="000F172A"/>
      <sz val="16"/>
    </font>
    <font>
      <name val="Arial"/>
      <b val="1"/>
      <color rgb="00D2042D"/>
      <sz val="11"/>
    </font>
    <font>
      <name val="Courier New"/>
      <b val="1"/>
      <color rgb="000F172A"/>
      <sz val="11"/>
    </font>
    <font>
      <name val="Courier New"/>
      <sz val="10"/>
    </font>
    <font>
      <name val="Arial"/>
      <i val="1"/>
      <sz val="10"/>
    </font>
    <font>
      <name val="Courier New"/>
      <b val="1"/>
      <sz val="10"/>
    </font>
    <font>
      <name val="Courier New"/>
      <color rgb="0064748B"/>
      <sz val="9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ECFDF5"/>
      </patternFill>
    </fill>
    <fill>
      <patternFill patternType="solid">
        <fgColor rgb="00FFF7ED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172A"/>
      </top>
      <bottom style="medium">
        <color rgb="000F172A"/>
      </bottom>
    </border>
    <border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0" fontId="0" fillId="4" borderId="2" pivotButton="0" quotePrefix="0" xfId="0"/>
    <xf numFmtId="0" fontId="6" fillId="4" borderId="2" pivotButton="0" quotePrefix="0" xfId="0"/>
    <xf numFmtId="0" fontId="5" fillId="4" borderId="2" pivotButton="0" quotePrefix="0" xfId="0"/>
    <xf numFmtId="164" fontId="6" fillId="4" borderId="2" pivotButton="0" quotePrefix="0" xfId="0"/>
    <xf numFmtId="2" fontId="6" fillId="4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5" borderId="1" pivotButton="0" quotePrefix="0" xfId="0"/>
    <xf numFmtId="165" fontId="4" fillId="0" borderId="1" pivotButton="0" quotePrefix="0" xfId="0"/>
    <xf numFmtId="0" fontId="9" fillId="0" borderId="1" applyAlignment="1" pivotButton="0" quotePrefix="0" xfId="0">
      <alignment horizontal="center"/>
    </xf>
    <xf numFmtId="0" fontId="8" fillId="6" borderId="1" pivotButton="0" quotePrefix="0" xfId="0"/>
    <xf numFmtId="0" fontId="8" fillId="4" borderId="1" pivotButton="0" quotePrefix="0" xfId="0"/>
    <xf numFmtId="0" fontId="10" fillId="0" borderId="1" applyAlignment="1" pivotButton="0" quotePrefix="0" xfId="0">
      <alignment horizontal="center"/>
    </xf>
    <xf numFmtId="0" fontId="0" fillId="4" borderId="3" pivotButton="0" quotePrefix="0" xfId="0"/>
    <xf numFmtId="0" fontId="6" fillId="4" borderId="3" pivotButton="0" quotePrefix="0" xfId="0"/>
    <xf numFmtId="164" fontId="6" fillId="4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5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DC Brands — Market-Cap Weighted</t>
        </is>
      </c>
    </row>
    <row r="2">
      <c r="A2" s="2" t="inlineStr">
        <is>
          <t>43 constituents · Sorted by market cap · Base date: Jan 2, 2024 = 100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Category</t>
        </is>
      </c>
      <c r="E4" s="3" t="inlineStr">
        <is>
          <t>Mkt Cap ($B)</t>
        </is>
      </c>
      <c r="F4" s="3" t="inlineStr">
        <is>
          <t>Weight (%)</t>
        </is>
      </c>
      <c r="G4" s="3" t="inlineStr">
        <is>
          <t>Cumulative (%)</t>
        </is>
      </c>
    </row>
    <row r="5">
      <c r="A5" s="4" t="n">
        <v>1</v>
      </c>
      <c r="B5" s="5" t="inlineStr">
        <is>
          <t>NKE</t>
        </is>
      </c>
      <c r="C5" s="6" t="inlineStr">
        <is>
          <t>Nike Inc.</t>
        </is>
      </c>
      <c r="D5" s="6" t="inlineStr">
        <is>
          <t>Footwear / Apparel</t>
        </is>
      </c>
      <c r="E5" s="7" t="n">
        <v>65</v>
      </c>
      <c r="F5" s="8">
        <f>E5/E48*100</f>
        <v/>
      </c>
      <c r="G5" s="8">
        <f>F5</f>
        <v/>
      </c>
    </row>
    <row r="6">
      <c r="A6" s="9" t="n">
        <v>2</v>
      </c>
      <c r="B6" s="10" t="inlineStr">
        <is>
          <t>TPR</t>
        </is>
      </c>
      <c r="C6" s="11" t="inlineStr">
        <is>
          <t>Tapestry Inc.</t>
        </is>
      </c>
      <c r="D6" s="11" t="inlineStr">
        <is>
          <t>Luxury Accessories</t>
        </is>
      </c>
      <c r="E6" s="12" t="n">
        <v>30.5</v>
      </c>
      <c r="F6" s="13">
        <f>E6/E48*100</f>
        <v/>
      </c>
      <c r="G6" s="13">
        <f>G5+F6</f>
        <v/>
      </c>
    </row>
    <row r="7">
      <c r="A7" s="4" t="n">
        <v>3</v>
      </c>
      <c r="B7" s="5" t="inlineStr">
        <is>
          <t>AS</t>
        </is>
      </c>
      <c r="C7" s="6" t="inlineStr">
        <is>
          <t>Amer Sports Inc.</t>
        </is>
      </c>
      <c r="D7" s="6" t="inlineStr">
        <is>
          <t>Sporting Goods</t>
        </is>
      </c>
      <c r="E7" s="7" t="n">
        <v>20.5</v>
      </c>
      <c r="F7" s="8">
        <f>E7/E48*100</f>
        <v/>
      </c>
      <c r="G7" s="8">
        <f>G6+F7</f>
        <v/>
      </c>
    </row>
    <row r="8">
      <c r="A8" s="9" t="n">
        <v>4</v>
      </c>
      <c r="B8" s="10" t="inlineStr">
        <is>
          <t>RL</t>
        </is>
      </c>
      <c r="C8" s="11" t="inlineStr">
        <is>
          <t>Ralph Lauren Corp.</t>
        </is>
      </c>
      <c r="D8" s="11" t="inlineStr">
        <is>
          <t>Apparel / Luxury</t>
        </is>
      </c>
      <c r="E8" s="12" t="n">
        <v>20.5</v>
      </c>
      <c r="F8" s="13">
        <f>E8/E48*100</f>
        <v/>
      </c>
      <c r="G8" s="13">
        <f>G7+F8</f>
        <v/>
      </c>
    </row>
    <row r="9">
      <c r="A9" s="4" t="n">
        <v>5</v>
      </c>
      <c r="B9" s="5" t="inlineStr">
        <is>
          <t>LULU</t>
        </is>
      </c>
      <c r="C9" s="6" t="inlineStr">
        <is>
          <t>Lululemon Athletica</t>
        </is>
      </c>
      <c r="D9" s="6" t="inlineStr">
        <is>
          <t>Activewear</t>
        </is>
      </c>
      <c r="E9" s="7" t="n">
        <v>19.5</v>
      </c>
      <c r="F9" s="8">
        <f>E9/E48*100</f>
        <v/>
      </c>
      <c r="G9" s="8">
        <f>G8+F9</f>
        <v/>
      </c>
    </row>
    <row r="10">
      <c r="A10" s="9" t="n">
        <v>6</v>
      </c>
      <c r="B10" s="10" t="inlineStr">
        <is>
          <t>DECK</t>
        </is>
      </c>
      <c r="C10" s="11" t="inlineStr">
        <is>
          <t>Deckers Outdoor Corp.</t>
        </is>
      </c>
      <c r="D10" s="11" t="inlineStr">
        <is>
          <t>Footwear</t>
        </is>
      </c>
      <c r="E10" s="12" t="n">
        <v>16</v>
      </c>
      <c r="F10" s="13">
        <f>E10/E48*100</f>
        <v/>
      </c>
      <c r="G10" s="13">
        <f>G9+F10</f>
        <v/>
      </c>
    </row>
    <row r="11">
      <c r="A11" s="4" t="n">
        <v>7</v>
      </c>
      <c r="B11" s="5" t="inlineStr">
        <is>
          <t>ONON</t>
        </is>
      </c>
      <c r="C11" s="6" t="inlineStr">
        <is>
          <t>On Holding AG</t>
        </is>
      </c>
      <c r="D11" s="6" t="inlineStr">
        <is>
          <t>Footwear / Activewear</t>
        </is>
      </c>
      <c r="E11" s="7" t="n">
        <v>11.5</v>
      </c>
      <c r="F11" s="8">
        <f>E11/E48*100</f>
        <v/>
      </c>
      <c r="G11" s="8">
        <f>G10+F11</f>
        <v/>
      </c>
    </row>
    <row r="12">
      <c r="A12" s="9" t="n">
        <v>8</v>
      </c>
      <c r="B12" s="10" t="inlineStr">
        <is>
          <t>CHWY</t>
        </is>
      </c>
      <c r="C12" s="11" t="inlineStr">
        <is>
          <t>Chewy Inc.</t>
        </is>
      </c>
      <c r="D12" s="11" t="inlineStr">
        <is>
          <t>Pet</t>
        </is>
      </c>
      <c r="E12" s="12" t="n">
        <v>10.5</v>
      </c>
      <c r="F12" s="13">
        <f>E12/E48*100</f>
        <v/>
      </c>
      <c r="G12" s="13">
        <f>G11+F12</f>
        <v/>
      </c>
    </row>
    <row r="13">
      <c r="A13" s="4" t="n">
        <v>9</v>
      </c>
      <c r="B13" s="5" t="inlineStr">
        <is>
          <t>CELH</t>
        </is>
      </c>
      <c r="C13" s="6" t="inlineStr">
        <is>
          <t>Celsius Holdings</t>
        </is>
      </c>
      <c r="D13" s="6" t="inlineStr">
        <is>
          <t>Food &amp; Bev</t>
        </is>
      </c>
      <c r="E13" s="7" t="n">
        <v>9.5</v>
      </c>
      <c r="F13" s="8">
        <f>E13/E48*100</f>
        <v/>
      </c>
      <c r="G13" s="8">
        <f>G12+F13</f>
        <v/>
      </c>
    </row>
    <row r="14">
      <c r="A14" s="9" t="n">
        <v>10</v>
      </c>
      <c r="B14" s="10" t="inlineStr">
        <is>
          <t>BROS</t>
        </is>
      </c>
      <c r="C14" s="11" t="inlineStr">
        <is>
          <t>Dutch Bros Inc.</t>
        </is>
      </c>
      <c r="D14" s="11" t="inlineStr">
        <is>
          <t>Food &amp; Bev</t>
        </is>
      </c>
      <c r="E14" s="12" t="n">
        <v>8.9</v>
      </c>
      <c r="F14" s="13">
        <f>E14/E48*100</f>
        <v/>
      </c>
      <c r="G14" s="13">
        <f>G13+F14</f>
        <v/>
      </c>
    </row>
    <row r="15">
      <c r="A15" s="4" t="n">
        <v>11</v>
      </c>
      <c r="B15" s="5" t="inlineStr">
        <is>
          <t>BIRK</t>
        </is>
      </c>
      <c r="C15" s="6" t="inlineStr">
        <is>
          <t>Birkenstock Holding</t>
        </is>
      </c>
      <c r="D15" s="6" t="inlineStr">
        <is>
          <t>Footwear</t>
        </is>
      </c>
      <c r="E15" s="7" t="n">
        <v>7</v>
      </c>
      <c r="F15" s="8">
        <f>E15/E48*100</f>
        <v/>
      </c>
      <c r="G15" s="8">
        <f>G14+F15</f>
        <v/>
      </c>
    </row>
    <row r="16">
      <c r="A16" s="9" t="n">
        <v>12</v>
      </c>
      <c r="B16" s="10" t="inlineStr">
        <is>
          <t>CROX</t>
        </is>
      </c>
      <c r="C16" s="11" t="inlineStr">
        <is>
          <t>Crocs Inc.</t>
        </is>
      </c>
      <c r="D16" s="11" t="inlineStr">
        <is>
          <t>Footwear</t>
        </is>
      </c>
      <c r="E16" s="12" t="n">
        <v>4.5</v>
      </c>
      <c r="F16" s="13">
        <f>E16/E48*100</f>
        <v/>
      </c>
      <c r="G16" s="13">
        <f>G15+F16</f>
        <v/>
      </c>
    </row>
    <row r="17">
      <c r="A17" s="4" t="n">
        <v>13</v>
      </c>
      <c r="B17" s="5" t="inlineStr">
        <is>
          <t>ANF</t>
        </is>
      </c>
      <c r="C17" s="6" t="inlineStr">
        <is>
          <t>Abercrombie &amp; Fitch</t>
        </is>
      </c>
      <c r="D17" s="6" t="inlineStr">
        <is>
          <t>Apparel</t>
        </is>
      </c>
      <c r="E17" s="7" t="n">
        <v>4.5</v>
      </c>
      <c r="F17" s="8">
        <f>E17/E48*100</f>
        <v/>
      </c>
      <c r="G17" s="8">
        <f>G16+F17</f>
        <v/>
      </c>
    </row>
    <row r="18">
      <c r="A18" s="9" t="n">
        <v>14</v>
      </c>
      <c r="B18" s="10" t="inlineStr">
        <is>
          <t>HIMS</t>
        </is>
      </c>
      <c r="C18" s="11" t="inlineStr">
        <is>
          <t>Hims &amp; Hers Health</t>
        </is>
      </c>
      <c r="D18" s="11" t="inlineStr">
        <is>
          <t>Health &amp; Wellness</t>
        </is>
      </c>
      <c r="E18" s="12" t="n">
        <v>4.4</v>
      </c>
      <c r="F18" s="13">
        <f>E18/E48*100</f>
        <v/>
      </c>
      <c r="G18" s="13">
        <f>G17+F18</f>
        <v/>
      </c>
    </row>
    <row r="19">
      <c r="A19" s="4" t="n">
        <v>15</v>
      </c>
      <c r="B19" s="5" t="inlineStr">
        <is>
          <t>ELF</t>
        </is>
      </c>
      <c r="C19" s="6" t="inlineStr">
        <is>
          <t>e.l.f. Beauty Inc.</t>
        </is>
      </c>
      <c r="D19" s="6" t="inlineStr">
        <is>
          <t>Beauty</t>
        </is>
      </c>
      <c r="E19" s="7" t="n">
        <v>4.2</v>
      </c>
      <c r="F19" s="8">
        <f>E19/E48*100</f>
        <v/>
      </c>
      <c r="G19" s="8">
        <f>G18+F19</f>
        <v/>
      </c>
    </row>
    <row r="20">
      <c r="A20" s="9" t="n">
        <v>16</v>
      </c>
      <c r="B20" s="10" t="inlineStr">
        <is>
          <t>PVH</t>
        </is>
      </c>
      <c r="C20" s="11" t="inlineStr">
        <is>
          <t>PVH Corp.</t>
        </is>
      </c>
      <c r="D20" s="11" t="inlineStr">
        <is>
          <t>Apparel</t>
        </is>
      </c>
      <c r="E20" s="12" t="n">
        <v>4</v>
      </c>
      <c r="F20" s="13">
        <f>E20/E48*100</f>
        <v/>
      </c>
      <c r="G20" s="13">
        <f>G19+F20</f>
        <v/>
      </c>
    </row>
    <row r="21">
      <c r="A21" s="4" t="n">
        <v>17</v>
      </c>
      <c r="B21" s="5" t="inlineStr">
        <is>
          <t>BBWI</t>
        </is>
      </c>
      <c r="C21" s="6" t="inlineStr">
        <is>
          <t>Bath &amp; Body Works</t>
        </is>
      </c>
      <c r="D21" s="6" t="inlineStr">
        <is>
          <t>Beauty / Personal Care</t>
        </is>
      </c>
      <c r="E21" s="7" t="n">
        <v>3.7</v>
      </c>
      <c r="F21" s="8">
        <f>E21/E48*100</f>
        <v/>
      </c>
      <c r="G21" s="8">
        <f>G20+F21</f>
        <v/>
      </c>
    </row>
    <row r="22">
      <c r="A22" s="9" t="n">
        <v>18</v>
      </c>
      <c r="B22" s="10" t="inlineStr">
        <is>
          <t>VSCO</t>
        </is>
      </c>
      <c r="C22" s="11" t="inlineStr">
        <is>
          <t>Victoria's Secret &amp; Co.</t>
        </is>
      </c>
      <c r="D22" s="11" t="inlineStr">
        <is>
          <t>Apparel / Intimates</t>
        </is>
      </c>
      <c r="E22" s="12" t="n">
        <v>3.7</v>
      </c>
      <c r="F22" s="13">
        <f>E22/E48*100</f>
        <v/>
      </c>
      <c r="G22" s="13">
        <f>G21+F22</f>
        <v/>
      </c>
    </row>
    <row r="23">
      <c r="A23" s="4" t="n">
        <v>19</v>
      </c>
      <c r="B23" s="5" t="inlineStr">
        <is>
          <t>KTB</t>
        </is>
      </c>
      <c r="C23" s="6" t="inlineStr">
        <is>
          <t>Kontoor Brands</t>
        </is>
      </c>
      <c r="D23" s="6" t="inlineStr">
        <is>
          <t>Apparel</t>
        </is>
      </c>
      <c r="E23" s="7" t="n">
        <v>3.7</v>
      </c>
      <c r="F23" s="8">
        <f>E23/E48*100</f>
        <v/>
      </c>
      <c r="G23" s="8">
        <f>G22+F23</f>
        <v/>
      </c>
    </row>
    <row r="24">
      <c r="A24" s="9" t="n">
        <v>20</v>
      </c>
      <c r="B24" s="10" t="inlineStr">
        <is>
          <t>FRPT</t>
        </is>
      </c>
      <c r="C24" s="11" t="inlineStr">
        <is>
          <t>Freshpet Inc.</t>
        </is>
      </c>
      <c r="D24" s="11" t="inlineStr">
        <is>
          <t>Pet / Food</t>
        </is>
      </c>
      <c r="E24" s="12" t="n">
        <v>3.4</v>
      </c>
      <c r="F24" s="13">
        <f>E24/E48*100</f>
        <v/>
      </c>
      <c r="G24" s="13">
        <f>G23+F24</f>
        <v/>
      </c>
    </row>
    <row r="25">
      <c r="A25" s="4" t="n">
        <v>21</v>
      </c>
      <c r="B25" s="5" t="inlineStr">
        <is>
          <t>YETI</t>
        </is>
      </c>
      <c r="C25" s="6" t="inlineStr">
        <is>
          <t>YETI Holdings</t>
        </is>
      </c>
      <c r="D25" s="6" t="inlineStr">
        <is>
          <t>Outdoor / Lifestyle</t>
        </is>
      </c>
      <c r="E25" s="7" t="n">
        <v>3</v>
      </c>
      <c r="F25" s="8">
        <f>E25/E48*100</f>
        <v/>
      </c>
      <c r="G25" s="8">
        <f>G24+F25</f>
        <v/>
      </c>
    </row>
    <row r="26">
      <c r="A26" s="9" t="n">
        <v>22</v>
      </c>
      <c r="B26" s="10" t="inlineStr">
        <is>
          <t>COLM</t>
        </is>
      </c>
      <c r="C26" s="11" t="inlineStr">
        <is>
          <t>Columbia Sportswear</t>
        </is>
      </c>
      <c r="D26" s="11" t="inlineStr">
        <is>
          <t>Apparel / Outdoor</t>
        </is>
      </c>
      <c r="E26" s="12" t="n">
        <v>3</v>
      </c>
      <c r="F26" s="13">
        <f>E26/E48*100</f>
        <v/>
      </c>
      <c r="G26" s="13">
        <f>G25+F26</f>
        <v/>
      </c>
    </row>
    <row r="27">
      <c r="A27" s="4" t="n">
        <v>23</v>
      </c>
      <c r="B27" s="5" t="inlineStr">
        <is>
          <t>COCO</t>
        </is>
      </c>
      <c r="C27" s="6" t="inlineStr">
        <is>
          <t>The Vita Coco Company</t>
        </is>
      </c>
      <c r="D27" s="6" t="inlineStr">
        <is>
          <t>Food &amp; Bev</t>
        </is>
      </c>
      <c r="E27" s="7" t="n">
        <v>2.8</v>
      </c>
      <c r="F27" s="8">
        <f>E27/E48*100</f>
        <v/>
      </c>
      <c r="G27" s="8">
        <f>G26+F27</f>
        <v/>
      </c>
    </row>
    <row r="28">
      <c r="A28" s="9" t="n">
        <v>24</v>
      </c>
      <c r="B28" s="10" t="inlineStr">
        <is>
          <t>WRBY</t>
        </is>
      </c>
      <c r="C28" s="11" t="inlineStr">
        <is>
          <t>Warby Parker Inc.</t>
        </is>
      </c>
      <c r="D28" s="11" t="inlineStr">
        <is>
          <t>Eyewear</t>
        </is>
      </c>
      <c r="E28" s="12" t="n">
        <v>2.6</v>
      </c>
      <c r="F28" s="13">
        <f>E28/E48*100</f>
        <v/>
      </c>
      <c r="G28" s="13">
        <f>G27+F28</f>
        <v/>
      </c>
    </row>
    <row r="29">
      <c r="A29" s="4" t="n">
        <v>25</v>
      </c>
      <c r="B29" s="5" t="inlineStr">
        <is>
          <t>UAA</t>
        </is>
      </c>
      <c r="C29" s="6" t="inlineStr">
        <is>
          <t>Under Armour Inc.</t>
        </is>
      </c>
      <c r="D29" s="6" t="inlineStr">
        <is>
          <t>Activewear</t>
        </is>
      </c>
      <c r="E29" s="7" t="n">
        <v>2.6</v>
      </c>
      <c r="F29" s="8">
        <f>E29/E48*100</f>
        <v/>
      </c>
      <c r="G29" s="8">
        <f>G28+F29</f>
        <v/>
      </c>
    </row>
    <row r="30">
      <c r="A30" s="9" t="n">
        <v>26</v>
      </c>
      <c r="B30" s="10" t="inlineStr">
        <is>
          <t>CPRI</t>
        </is>
      </c>
      <c r="C30" s="11" t="inlineStr">
        <is>
          <t>Capri Holdings</t>
        </is>
      </c>
      <c r="D30" s="11" t="inlineStr">
        <is>
          <t>Luxury Accessories</t>
        </is>
      </c>
      <c r="E30" s="12" t="n">
        <v>2.6</v>
      </c>
      <c r="F30" s="13">
        <f>E30/E48*100</f>
        <v/>
      </c>
      <c r="G30" s="13">
        <f>G29+F30</f>
        <v/>
      </c>
    </row>
    <row r="31">
      <c r="A31" s="4" t="n">
        <v>27</v>
      </c>
      <c r="B31" s="5" t="inlineStr">
        <is>
          <t>SHOO</t>
        </is>
      </c>
      <c r="C31" s="6" t="inlineStr">
        <is>
          <t>Steven Madden Ltd.</t>
        </is>
      </c>
      <c r="D31" s="6" t="inlineStr">
        <is>
          <t>Footwear</t>
        </is>
      </c>
      <c r="E31" s="7" t="n">
        <v>2.4</v>
      </c>
      <c r="F31" s="8">
        <f>E31/E48*100</f>
        <v/>
      </c>
      <c r="G31" s="8">
        <f>G30+F31</f>
        <v/>
      </c>
    </row>
    <row r="32">
      <c r="A32" s="9" t="n">
        <v>28</v>
      </c>
      <c r="B32" s="10" t="inlineStr">
        <is>
          <t>FIGS</t>
        </is>
      </c>
      <c r="C32" s="11" t="inlineStr">
        <is>
          <t>FIGS Inc.</t>
        </is>
      </c>
      <c r="D32" s="11" t="inlineStr">
        <is>
          <t>Apparel / Healthcare</t>
        </is>
      </c>
      <c r="E32" s="12" t="n">
        <v>2.3</v>
      </c>
      <c r="F32" s="13">
        <f>E32/E48*100</f>
        <v/>
      </c>
      <c r="G32" s="13">
        <f>G31+F32</f>
        <v/>
      </c>
    </row>
    <row r="33">
      <c r="A33" s="4" t="n">
        <v>29</v>
      </c>
      <c r="B33" s="5" t="inlineStr">
        <is>
          <t>HBI</t>
        </is>
      </c>
      <c r="C33" s="6" t="inlineStr">
        <is>
          <t>Hanesbrands Inc.</t>
        </is>
      </c>
      <c r="D33" s="6" t="inlineStr">
        <is>
          <t>Apparel / Basics</t>
        </is>
      </c>
      <c r="E33" s="7" t="n">
        <v>2.3</v>
      </c>
      <c r="F33" s="8">
        <f>E33/E48*100</f>
        <v/>
      </c>
      <c r="G33" s="8">
        <f>G32+F33</f>
        <v/>
      </c>
    </row>
    <row r="34">
      <c r="A34" s="9" t="n">
        <v>30</v>
      </c>
      <c r="B34" s="10" t="inlineStr">
        <is>
          <t>PTON</t>
        </is>
      </c>
      <c r="C34" s="11" t="inlineStr">
        <is>
          <t>Peloton Interactive</t>
        </is>
      </c>
      <c r="D34" s="11" t="inlineStr">
        <is>
          <t>Fitness / Connected</t>
        </is>
      </c>
      <c r="E34" s="12" t="n">
        <v>2</v>
      </c>
      <c r="F34" s="13">
        <f>E34/E48*100</f>
        <v/>
      </c>
      <c r="G34" s="13">
        <f>G33+F34</f>
        <v/>
      </c>
    </row>
    <row r="35">
      <c r="A35" s="4" t="n">
        <v>31</v>
      </c>
      <c r="B35" s="5" t="inlineStr">
        <is>
          <t>SONO</t>
        </is>
      </c>
      <c r="C35" s="6" t="inlineStr">
        <is>
          <t>Sonos Inc.</t>
        </is>
      </c>
      <c r="D35" s="6" t="inlineStr">
        <is>
          <t>Consumer Electronics</t>
        </is>
      </c>
      <c r="E35" s="7" t="n">
        <v>2</v>
      </c>
      <c r="F35" s="8">
        <f>E35/E48*100</f>
        <v/>
      </c>
      <c r="G35" s="8">
        <f>G34+F35</f>
        <v/>
      </c>
    </row>
    <row r="36">
      <c r="A36" s="9" t="n">
        <v>32</v>
      </c>
      <c r="B36" s="10" t="inlineStr">
        <is>
          <t>RVLV</t>
        </is>
      </c>
      <c r="C36" s="11" t="inlineStr">
        <is>
          <t>Revolve Group Inc.</t>
        </is>
      </c>
      <c r="D36" s="11" t="inlineStr">
        <is>
          <t>Apparel / Fashion</t>
        </is>
      </c>
      <c r="E36" s="12" t="n">
        <v>1.8</v>
      </c>
      <c r="F36" s="13">
        <f>E36/E48*100</f>
        <v/>
      </c>
      <c r="G36" s="13">
        <f>G35+F36</f>
        <v/>
      </c>
    </row>
    <row r="37">
      <c r="A37" s="4" t="n">
        <v>33</v>
      </c>
      <c r="B37" s="5" t="inlineStr">
        <is>
          <t>OLPX</t>
        </is>
      </c>
      <c r="C37" s="6" t="inlineStr">
        <is>
          <t>Olaplex Holdings</t>
        </is>
      </c>
      <c r="D37" s="6" t="inlineStr">
        <is>
          <t>Beauty / Haircare</t>
        </is>
      </c>
      <c r="E37" s="7" t="n">
        <v>1.4</v>
      </c>
      <c r="F37" s="8">
        <f>E37/E48*100</f>
        <v/>
      </c>
      <c r="G37" s="8">
        <f>G36+F37</f>
        <v/>
      </c>
    </row>
    <row r="38">
      <c r="A38" s="9" t="n">
        <v>34</v>
      </c>
      <c r="B38" s="10" t="inlineStr">
        <is>
          <t>WWW</t>
        </is>
      </c>
      <c r="C38" s="11" t="inlineStr">
        <is>
          <t>Wolverine World Wide</t>
        </is>
      </c>
      <c r="D38" s="11" t="inlineStr">
        <is>
          <t>Footwear</t>
        </is>
      </c>
      <c r="E38" s="12" t="n">
        <v>1.3</v>
      </c>
      <c r="F38" s="13">
        <f>E38/E48*100</f>
        <v/>
      </c>
      <c r="G38" s="13">
        <f>G37+F38</f>
        <v/>
      </c>
    </row>
    <row r="39">
      <c r="A39" s="4" t="n">
        <v>35</v>
      </c>
      <c r="B39" s="5" t="inlineStr">
        <is>
          <t>GIII</t>
        </is>
      </c>
      <c r="C39" s="6" t="inlineStr">
        <is>
          <t>G-III Apparel Group</t>
        </is>
      </c>
      <c r="D39" s="6" t="inlineStr">
        <is>
          <t>Apparel</t>
        </is>
      </c>
      <c r="E39" s="7" t="n">
        <v>1.3</v>
      </c>
      <c r="F39" s="8">
        <f>E39/E48*100</f>
        <v/>
      </c>
      <c r="G39" s="8">
        <f>G38+F39</f>
        <v/>
      </c>
    </row>
    <row r="40">
      <c r="A40" s="9" t="n">
        <v>36</v>
      </c>
      <c r="B40" s="10" t="inlineStr">
        <is>
          <t>CRI</t>
        </is>
      </c>
      <c r="C40" s="11" t="inlineStr">
        <is>
          <t>Carter's Inc.</t>
        </is>
      </c>
      <c r="D40" s="11" t="inlineStr">
        <is>
          <t>Apparel / Children's</t>
        </is>
      </c>
      <c r="E40" s="12" t="n">
        <v>1.3</v>
      </c>
      <c r="F40" s="13">
        <f>E40/E48*100</f>
        <v/>
      </c>
      <c r="G40" s="13">
        <f>G39+F40</f>
        <v/>
      </c>
    </row>
    <row r="41">
      <c r="A41" s="4" t="n">
        <v>37</v>
      </c>
      <c r="B41" s="5" t="inlineStr">
        <is>
          <t>GOOS</t>
        </is>
      </c>
      <c r="C41" s="6" t="inlineStr">
        <is>
          <t>Canada Goose</t>
        </is>
      </c>
      <c r="D41" s="6" t="inlineStr">
        <is>
          <t>Apparel / Outerwear</t>
        </is>
      </c>
      <c r="E41" s="7" t="n">
        <v>1.1</v>
      </c>
      <c r="F41" s="8">
        <f>E41/E48*100</f>
        <v/>
      </c>
      <c r="G41" s="8">
        <f>G40+F41</f>
        <v/>
      </c>
    </row>
    <row r="42">
      <c r="A42" s="9" t="n">
        <v>38</v>
      </c>
      <c r="B42" s="10" t="inlineStr">
        <is>
          <t>ODD</t>
        </is>
      </c>
      <c r="C42" s="11" t="inlineStr">
        <is>
          <t>Oddity Tech Ltd.</t>
        </is>
      </c>
      <c r="D42" s="11" t="inlineStr">
        <is>
          <t>Beauty / DTC Tech</t>
        </is>
      </c>
      <c r="E42" s="12" t="n">
        <v>0.78</v>
      </c>
      <c r="F42" s="13">
        <f>E42/E48*100</f>
        <v/>
      </c>
      <c r="G42" s="13">
        <f>G41+F42</f>
        <v/>
      </c>
    </row>
    <row r="43">
      <c r="A43" s="4" t="n">
        <v>39</v>
      </c>
      <c r="B43" s="5" t="inlineStr">
        <is>
          <t>SFIX</t>
        </is>
      </c>
      <c r="C43" s="6" t="inlineStr">
        <is>
          <t>Stitch Fix Inc.</t>
        </is>
      </c>
      <c r="D43" s="6" t="inlineStr">
        <is>
          <t>Apparel / Styling</t>
        </is>
      </c>
      <c r="E43" s="7" t="n">
        <v>0.44</v>
      </c>
      <c r="F43" s="8">
        <f>E43/E48*100</f>
        <v/>
      </c>
      <c r="G43" s="8">
        <f>G42+F43</f>
        <v/>
      </c>
    </row>
    <row r="44">
      <c r="A44" s="9" t="n">
        <v>40</v>
      </c>
      <c r="B44" s="10" t="inlineStr">
        <is>
          <t>HNST</t>
        </is>
      </c>
      <c r="C44" s="11" t="inlineStr">
        <is>
          <t>The Honest Company</t>
        </is>
      </c>
      <c r="D44" s="11" t="inlineStr">
        <is>
          <t>Baby / Personal Care</t>
        </is>
      </c>
      <c r="E44" s="12" t="n">
        <v>0.34</v>
      </c>
      <c r="F44" s="13">
        <f>E44/E48*100</f>
        <v/>
      </c>
      <c r="G44" s="13">
        <f>G43+F44</f>
        <v/>
      </c>
    </row>
    <row r="45">
      <c r="A45" s="4" t="n">
        <v>41</v>
      </c>
      <c r="B45" s="5" t="inlineStr">
        <is>
          <t>XPOF</t>
        </is>
      </c>
      <c r="C45" s="6" t="inlineStr">
        <is>
          <t>Xponential Fitness</t>
        </is>
      </c>
      <c r="D45" s="6" t="inlineStr">
        <is>
          <t>Fitness</t>
        </is>
      </c>
      <c r="E45" s="7" t="n">
        <v>0.28</v>
      </c>
      <c r="F45" s="8">
        <f>E45/E48*100</f>
        <v/>
      </c>
      <c r="G45" s="8">
        <f>G44+F45</f>
        <v/>
      </c>
    </row>
    <row r="46">
      <c r="A46" s="9" t="n">
        <v>42</v>
      </c>
      <c r="B46" s="10" t="inlineStr">
        <is>
          <t>LOVE</t>
        </is>
      </c>
      <c r="C46" s="11" t="inlineStr">
        <is>
          <t>The Lovesac Company</t>
        </is>
      </c>
      <c r="D46" s="11" t="inlineStr">
        <is>
          <t>Home / Furniture</t>
        </is>
      </c>
      <c r="E46" s="12" t="n">
        <v>0.22</v>
      </c>
      <c r="F46" s="13">
        <f>E46/E48*100</f>
        <v/>
      </c>
      <c r="G46" s="13">
        <f>G45+F46</f>
        <v/>
      </c>
    </row>
    <row r="47">
      <c r="A47" s="4" t="n">
        <v>43</v>
      </c>
      <c r="B47" s="5" t="inlineStr">
        <is>
          <t>RENT</t>
        </is>
      </c>
      <c r="C47" s="6" t="inlineStr">
        <is>
          <t>Rent the Runway</t>
        </is>
      </c>
      <c r="D47" s="6" t="inlineStr">
        <is>
          <t>Apparel / Rental</t>
        </is>
      </c>
      <c r="E47" s="7" t="n">
        <v>0.19</v>
      </c>
      <c r="F47" s="8">
        <f>E47/E48*100</f>
        <v/>
      </c>
      <c r="G47" s="8">
        <f>G46+F47</f>
        <v/>
      </c>
    </row>
    <row r="48">
      <c r="A48" s="14" t="inlineStr"/>
      <c r="B48" s="15" t="n"/>
      <c r="C48" s="16" t="inlineStr">
        <is>
          <t>TOTAL</t>
        </is>
      </c>
      <c r="D48" s="15" t="inlineStr">
        <is>
          <t>43 stocks</t>
        </is>
      </c>
      <c r="E48" s="17">
        <f>SUM(E5:E47)</f>
        <v/>
      </c>
      <c r="F48" s="18" t="n">
        <v>100</v>
      </c>
      <c r="G48" s="18" t="n">
        <v>100</v>
      </c>
    </row>
    <row r="50">
      <c r="A50" s="19" t="inlineStr">
        <is>
          <t>⚠ Top holding: Nike Inc. at 22.1% weight</t>
        </is>
      </c>
    </row>
    <row r="51">
      <c r="A51" s="19" t="inlineStr">
        <is>
          <t>⚠ Top 5 concentration: 53.1% of index</t>
        </is>
      </c>
    </row>
  </sheetData>
  <mergeCells count="4">
    <mergeCell ref="A2:G2"/>
    <mergeCell ref="A1:G1"/>
    <mergeCell ref="A50:G50"/>
    <mergeCell ref="A51: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DC Marketplaces — Market-Cap Weighted</t>
        </is>
      </c>
    </row>
    <row r="2">
      <c r="A2" s="2" t="inlineStr">
        <is>
          <t>24 constituents · Sorted by market cap · Base date: Jan 2, 2024 = 100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Region/Focus</t>
        </is>
      </c>
      <c r="E4" s="3" t="inlineStr">
        <is>
          <t>Mkt Cap ($B)</t>
        </is>
      </c>
      <c r="F4" s="3" t="inlineStr">
        <is>
          <t>Weight (%)</t>
        </is>
      </c>
      <c r="G4" s="3" t="inlineStr">
        <is>
          <t>Cumulative (%)</t>
        </is>
      </c>
    </row>
    <row r="5">
      <c r="A5" s="4" t="n">
        <v>1</v>
      </c>
      <c r="B5" s="5" t="inlineStr">
        <is>
          <t>AMZN</t>
        </is>
      </c>
      <c r="C5" s="6" t="inlineStr">
        <is>
          <t>Amazon.com</t>
        </is>
      </c>
      <c r="D5" s="6" t="inlineStr">
        <is>
          <t>Global</t>
        </is>
      </c>
      <c r="E5" s="7" t="n">
        <v>2560</v>
      </c>
      <c r="F5" s="8">
        <f>E5/E29*100</f>
        <v/>
      </c>
      <c r="G5" s="8">
        <f>F5</f>
        <v/>
      </c>
    </row>
    <row r="6">
      <c r="A6" s="9" t="n">
        <v>2</v>
      </c>
      <c r="B6" s="10" t="inlineStr">
        <is>
          <t>BABA</t>
        </is>
      </c>
      <c r="C6" s="11" t="inlineStr">
        <is>
          <t>Alibaba Group</t>
        </is>
      </c>
      <c r="D6" s="11" t="inlineStr">
        <is>
          <t>China/Global</t>
        </is>
      </c>
      <c r="E6" s="12" t="n">
        <v>305</v>
      </c>
      <c r="F6" s="13">
        <f>E6/E29*100</f>
        <v/>
      </c>
      <c r="G6" s="13">
        <f>G5+F6</f>
        <v/>
      </c>
    </row>
    <row r="7">
      <c r="A7" s="4" t="n">
        <v>3</v>
      </c>
      <c r="B7" s="5" t="inlineStr">
        <is>
          <t>SHOP</t>
        </is>
      </c>
      <c r="C7" s="6" t="inlineStr">
        <is>
          <t>Shopify</t>
        </is>
      </c>
      <c r="D7" s="6" t="inlineStr">
        <is>
          <t>Global</t>
        </is>
      </c>
      <c r="E7" s="7" t="n">
        <v>164</v>
      </c>
      <c r="F7" s="8">
        <f>E7/E29*100</f>
        <v/>
      </c>
      <c r="G7" s="8">
        <f>G6+F7</f>
        <v/>
      </c>
    </row>
    <row r="8">
      <c r="A8" s="9" t="n">
        <v>4</v>
      </c>
      <c r="B8" s="10" t="inlineStr">
        <is>
          <t>PDD</t>
        </is>
      </c>
      <c r="C8" s="11" t="inlineStr">
        <is>
          <t>PDD Holdings</t>
        </is>
      </c>
      <c r="D8" s="11" t="inlineStr">
        <is>
          <t>China/Global</t>
        </is>
      </c>
      <c r="E8" s="12" t="n">
        <v>144</v>
      </c>
      <c r="F8" s="13">
        <f>E8/E29*100</f>
        <v/>
      </c>
      <c r="G8" s="13">
        <f>G7+F8</f>
        <v/>
      </c>
    </row>
    <row r="9">
      <c r="A9" s="4" t="n">
        <v>5</v>
      </c>
      <c r="B9" s="5" t="inlineStr">
        <is>
          <t>BKNG</t>
        </is>
      </c>
      <c r="C9" s="6" t="inlineStr">
        <is>
          <t>Booking Holdings</t>
        </is>
      </c>
      <c r="D9" s="6" t="inlineStr">
        <is>
          <t>Global</t>
        </is>
      </c>
      <c r="E9" s="7" t="n">
        <v>138</v>
      </c>
      <c r="F9" s="8">
        <f>E9/E29*100</f>
        <v/>
      </c>
      <c r="G9" s="8">
        <f>G8+F9</f>
        <v/>
      </c>
    </row>
    <row r="10">
      <c r="A10" s="9" t="n">
        <v>6</v>
      </c>
      <c r="B10" s="10" t="inlineStr">
        <is>
          <t>MELI</t>
        </is>
      </c>
      <c r="C10" s="11" t="inlineStr">
        <is>
          <t>MercadoLibre</t>
        </is>
      </c>
      <c r="D10" s="11" t="inlineStr">
        <is>
          <t>Latin America</t>
        </is>
      </c>
      <c r="E10" s="12" t="n">
        <v>93</v>
      </c>
      <c r="F10" s="13">
        <f>E10/E29*100</f>
        <v/>
      </c>
      <c r="G10" s="13">
        <f>G9+F10</f>
        <v/>
      </c>
    </row>
    <row r="11">
      <c r="A11" s="4" t="n">
        <v>7</v>
      </c>
      <c r="B11" s="5" t="inlineStr">
        <is>
          <t>DASH</t>
        </is>
      </c>
      <c r="C11" s="6" t="inlineStr">
        <is>
          <t>DoorDash</t>
        </is>
      </c>
      <c r="D11" s="6" t="inlineStr">
        <is>
          <t>US/Global</t>
        </is>
      </c>
      <c r="E11" s="7" t="n">
        <v>68</v>
      </c>
      <c r="F11" s="8">
        <f>E11/E29*100</f>
        <v/>
      </c>
      <c r="G11" s="8">
        <f>G10+F11</f>
        <v/>
      </c>
    </row>
    <row r="12">
      <c r="A12" s="9" t="n">
        <v>8</v>
      </c>
      <c r="B12" s="10" t="inlineStr">
        <is>
          <t>CVNA</t>
        </is>
      </c>
      <c r="C12" s="11" t="inlineStr">
        <is>
          <t>Carvana</t>
        </is>
      </c>
      <c r="D12" s="11" t="inlineStr">
        <is>
          <t>US</t>
        </is>
      </c>
      <c r="E12" s="12" t="n">
        <v>53</v>
      </c>
      <c r="F12" s="13">
        <f>E12/E29*100</f>
        <v/>
      </c>
      <c r="G12" s="13">
        <f>G11+F12</f>
        <v/>
      </c>
    </row>
    <row r="13">
      <c r="A13" s="4" t="n">
        <v>9</v>
      </c>
      <c r="B13" s="5" t="inlineStr">
        <is>
          <t>SE</t>
        </is>
      </c>
      <c r="C13" s="6" t="inlineStr">
        <is>
          <t>Sea Limited</t>
        </is>
      </c>
      <c r="D13" s="6" t="inlineStr">
        <is>
          <t>SE Asia/Global</t>
        </is>
      </c>
      <c r="E13" s="7" t="n">
        <v>51</v>
      </c>
      <c r="F13" s="8">
        <f>E13/E29*100</f>
        <v/>
      </c>
      <c r="G13" s="8">
        <f>G12+F13</f>
        <v/>
      </c>
    </row>
    <row r="14">
      <c r="A14" s="9" t="n">
        <v>10</v>
      </c>
      <c r="B14" s="10" t="inlineStr">
        <is>
          <t>EBAY</t>
        </is>
      </c>
      <c r="C14" s="11" t="inlineStr">
        <is>
          <t>eBay</t>
        </is>
      </c>
      <c r="D14" s="11" t="inlineStr">
        <is>
          <t>Global</t>
        </is>
      </c>
      <c r="E14" s="12" t="n">
        <v>43</v>
      </c>
      <c r="F14" s="13">
        <f>E14/E29*100</f>
        <v/>
      </c>
      <c r="G14" s="13">
        <f>G13+F14</f>
        <v/>
      </c>
    </row>
    <row r="15">
      <c r="A15" s="4" t="n">
        <v>11</v>
      </c>
      <c r="B15" s="5" t="inlineStr">
        <is>
          <t>JD</t>
        </is>
      </c>
      <c r="C15" s="6" t="inlineStr">
        <is>
          <t>JD.com</t>
        </is>
      </c>
      <c r="D15" s="6" t="inlineStr">
        <is>
          <t>China</t>
        </is>
      </c>
      <c r="E15" s="7" t="n">
        <v>40</v>
      </c>
      <c r="F15" s="8">
        <f>E15/E29*100</f>
        <v/>
      </c>
      <c r="G15" s="8">
        <f>G14+F15</f>
        <v/>
      </c>
    </row>
    <row r="16">
      <c r="A16" s="9" t="n">
        <v>12</v>
      </c>
      <c r="B16" s="10" t="inlineStr">
        <is>
          <t>CPNG</t>
        </is>
      </c>
      <c r="C16" s="11" t="inlineStr">
        <is>
          <t>Coupang</t>
        </is>
      </c>
      <c r="D16" s="11" t="inlineStr">
        <is>
          <t>South Korea</t>
        </is>
      </c>
      <c r="E16" s="12" t="n">
        <v>36</v>
      </c>
      <c r="F16" s="13">
        <f>E16/E29*100</f>
        <v/>
      </c>
      <c r="G16" s="13">
        <f>G15+F16</f>
        <v/>
      </c>
    </row>
    <row r="17">
      <c r="A17" s="4" t="n">
        <v>13</v>
      </c>
      <c r="B17" s="5" t="inlineStr">
        <is>
          <t>GRAB</t>
        </is>
      </c>
      <c r="C17" s="6" t="inlineStr">
        <is>
          <t>Grab Holdings</t>
        </is>
      </c>
      <c r="D17" s="6" t="inlineStr">
        <is>
          <t>SE Asia</t>
        </is>
      </c>
      <c r="E17" s="7" t="n">
        <v>15</v>
      </c>
      <c r="F17" s="8">
        <f>E17/E29*100</f>
        <v/>
      </c>
      <c r="G17" s="8">
        <f>G16+F17</f>
        <v/>
      </c>
    </row>
    <row r="18">
      <c r="A18" s="9" t="n">
        <v>14</v>
      </c>
      <c r="B18" s="10" t="inlineStr">
        <is>
          <t>RKUNY</t>
        </is>
      </c>
      <c r="C18" s="11" t="inlineStr">
        <is>
          <t>Rakuten Group</t>
        </is>
      </c>
      <c r="D18" s="11" t="inlineStr">
        <is>
          <t>Japan</t>
        </is>
      </c>
      <c r="E18" s="12" t="n">
        <v>12</v>
      </c>
      <c r="F18" s="13">
        <f>E18/E29*100</f>
        <v/>
      </c>
      <c r="G18" s="13">
        <f>G17+F18</f>
        <v/>
      </c>
    </row>
    <row r="19">
      <c r="A19" s="4" t="n">
        <v>15</v>
      </c>
      <c r="B19" s="5" t="inlineStr">
        <is>
          <t>CART</t>
        </is>
      </c>
      <c r="C19" s="6" t="inlineStr">
        <is>
          <t>Maplebear (Instacart)</t>
        </is>
      </c>
      <c r="D19" s="6" t="inlineStr">
        <is>
          <t>US/Canada</t>
        </is>
      </c>
      <c r="E19" s="7" t="n">
        <v>10</v>
      </c>
      <c r="F19" s="8">
        <f>E19/E29*100</f>
        <v/>
      </c>
      <c r="G19" s="8">
        <f>G18+F19</f>
        <v/>
      </c>
    </row>
    <row r="20">
      <c r="A20" s="9" t="n">
        <v>16</v>
      </c>
      <c r="B20" s="10" t="inlineStr">
        <is>
          <t>W</t>
        </is>
      </c>
      <c r="C20" s="11" t="inlineStr">
        <is>
          <t>Wayfair</t>
        </is>
      </c>
      <c r="D20" s="11" t="inlineStr">
        <is>
          <t>US/Global</t>
        </is>
      </c>
      <c r="E20" s="12" t="n">
        <v>9.300000000000001</v>
      </c>
      <c r="F20" s="13">
        <f>E20/E29*100</f>
        <v/>
      </c>
      <c r="G20" s="13">
        <f>G19+F20</f>
        <v/>
      </c>
    </row>
    <row r="21">
      <c r="A21" s="4" t="n">
        <v>17</v>
      </c>
      <c r="B21" s="5" t="inlineStr">
        <is>
          <t>VIPS</t>
        </is>
      </c>
      <c r="C21" s="6" t="inlineStr">
        <is>
          <t>Vipshop</t>
        </is>
      </c>
      <c r="D21" s="6" t="inlineStr">
        <is>
          <t>China</t>
        </is>
      </c>
      <c r="E21" s="7" t="n">
        <v>7</v>
      </c>
      <c r="F21" s="8">
        <f>E21/E29*100</f>
        <v/>
      </c>
      <c r="G21" s="8">
        <f>G20+F21</f>
        <v/>
      </c>
    </row>
    <row r="22">
      <c r="A22" s="9" t="n">
        <v>18</v>
      </c>
      <c r="B22" s="10" t="inlineStr">
        <is>
          <t>ZAL</t>
        </is>
      </c>
      <c r="C22" s="11" t="inlineStr">
        <is>
          <t>Zalando</t>
        </is>
      </c>
      <c r="D22" s="11" t="inlineStr">
        <is>
          <t>Europe</t>
        </is>
      </c>
      <c r="E22" s="12" t="n">
        <v>6</v>
      </c>
      <c r="F22" s="13">
        <f>E22/E29*100</f>
        <v/>
      </c>
      <c r="G22" s="13">
        <f>G21+F22</f>
        <v/>
      </c>
    </row>
    <row r="23">
      <c r="A23" s="4" t="n">
        <v>19</v>
      </c>
      <c r="B23" s="5" t="inlineStr">
        <is>
          <t>ETSY</t>
        </is>
      </c>
      <c r="C23" s="6" t="inlineStr">
        <is>
          <t>Etsy</t>
        </is>
      </c>
      <c r="D23" s="6" t="inlineStr">
        <is>
          <t>Global</t>
        </is>
      </c>
      <c r="E23" s="7" t="n">
        <v>5</v>
      </c>
      <c r="F23" s="8">
        <f>E23/E29*100</f>
        <v/>
      </c>
      <c r="G23" s="8">
        <f>G22+F23</f>
        <v/>
      </c>
    </row>
    <row r="24">
      <c r="A24" s="9" t="n">
        <v>20</v>
      </c>
      <c r="B24" s="10" t="inlineStr">
        <is>
          <t>MCARY</t>
        </is>
      </c>
      <c r="C24" s="11" t="inlineStr">
        <is>
          <t>Mercari</t>
        </is>
      </c>
      <c r="D24" s="11" t="inlineStr">
        <is>
          <t>Japan/US</t>
        </is>
      </c>
      <c r="E24" s="12" t="n">
        <v>4</v>
      </c>
      <c r="F24" s="13">
        <f>E24/E29*100</f>
        <v/>
      </c>
      <c r="G24" s="13">
        <f>G23+F24</f>
        <v/>
      </c>
    </row>
    <row r="25">
      <c r="A25" s="4" t="n">
        <v>21</v>
      </c>
      <c r="B25" s="5" t="inlineStr">
        <is>
          <t>REAL</t>
        </is>
      </c>
      <c r="C25" s="6" t="inlineStr">
        <is>
          <t>The RealReal</t>
        </is>
      </c>
      <c r="D25" s="6" t="inlineStr">
        <is>
          <t>US</t>
        </is>
      </c>
      <c r="E25" s="7" t="n">
        <v>1.2</v>
      </c>
      <c r="F25" s="8">
        <f>E25/E29*100</f>
        <v/>
      </c>
      <c r="G25" s="8">
        <f>G24+F25</f>
        <v/>
      </c>
    </row>
    <row r="26">
      <c r="A26" s="9" t="n">
        <v>22</v>
      </c>
      <c r="B26" s="10" t="inlineStr">
        <is>
          <t>JMIA</t>
        </is>
      </c>
      <c r="C26" s="11" t="inlineStr">
        <is>
          <t>Jumia Technologies</t>
        </is>
      </c>
      <c r="D26" s="11" t="inlineStr">
        <is>
          <t>Africa</t>
        </is>
      </c>
      <c r="E26" s="12" t="n">
        <v>1</v>
      </c>
      <c r="F26" s="13">
        <f>E26/E29*100</f>
        <v/>
      </c>
      <c r="G26" s="13">
        <f>G25+F26</f>
        <v/>
      </c>
    </row>
    <row r="27">
      <c r="A27" s="4" t="n">
        <v>23</v>
      </c>
      <c r="B27" s="5" t="inlineStr">
        <is>
          <t>TDUP</t>
        </is>
      </c>
      <c r="C27" s="6" t="inlineStr">
        <is>
          <t>ThredUp</t>
        </is>
      </c>
      <c r="D27" s="6" t="inlineStr">
        <is>
          <t>US</t>
        </is>
      </c>
      <c r="E27" s="7" t="n">
        <v>0.45</v>
      </c>
      <c r="F27" s="8">
        <f>E27/E29*100</f>
        <v/>
      </c>
      <c r="G27" s="8">
        <f>G26+F27</f>
        <v/>
      </c>
    </row>
    <row r="28">
      <c r="A28" s="9" t="n">
        <v>24</v>
      </c>
      <c r="B28" s="10" t="inlineStr">
        <is>
          <t>DIBS</t>
        </is>
      </c>
      <c r="C28" s="11" t="inlineStr">
        <is>
          <t>1stDibs.Com Inc.</t>
        </is>
      </c>
      <c r="D28" s="11" t="inlineStr">
        <is>
          <t>US</t>
        </is>
      </c>
      <c r="E28" s="12" t="n">
        <v>0.21</v>
      </c>
      <c r="F28" s="13">
        <f>E28/E29*100</f>
        <v/>
      </c>
      <c r="G28" s="13">
        <f>G27+F28</f>
        <v/>
      </c>
    </row>
    <row r="29">
      <c r="A29" s="14" t="inlineStr"/>
      <c r="B29" s="15" t="n"/>
      <c r="C29" s="16" t="inlineStr">
        <is>
          <t>TOTAL</t>
        </is>
      </c>
      <c r="D29" s="15" t="inlineStr">
        <is>
          <t>24 stocks</t>
        </is>
      </c>
      <c r="E29" s="17">
        <f>SUM(E5:E28)</f>
        <v/>
      </c>
      <c r="F29" s="18" t="n">
        <v>100</v>
      </c>
      <c r="G29" s="18" t="n">
        <v>100</v>
      </c>
    </row>
    <row r="31">
      <c r="A31" s="19" t="inlineStr">
        <is>
          <t>⚠ Top holding: Amazon.com at 68.0% weight</t>
        </is>
      </c>
    </row>
    <row r="32">
      <c r="A32" s="19" t="inlineStr">
        <is>
          <t>⚠ Top 5 concentration: 87.9% of index</t>
        </is>
      </c>
    </row>
  </sheetData>
  <mergeCells count="4">
    <mergeCell ref="A32:G32"/>
    <mergeCell ref="A31:G3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DC Software — Market-Cap Weighted</t>
        </is>
      </c>
    </row>
    <row r="2">
      <c r="A2" s="2" t="inlineStr">
        <is>
          <t>50 constituents · Sorted by market cap · Base date: Jan 2, 2024 = 100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Sub-sector</t>
        </is>
      </c>
      <c r="E4" s="3" t="inlineStr">
        <is>
          <t>Mkt Cap ($B)</t>
        </is>
      </c>
      <c r="F4" s="3" t="inlineStr">
        <is>
          <t>Weight (%)</t>
        </is>
      </c>
      <c r="G4" s="3" t="inlineStr">
        <is>
          <t>Cumulative (%)</t>
        </is>
      </c>
    </row>
    <row r="5">
      <c r="A5" s="4" t="n">
        <v>1</v>
      </c>
      <c r="B5" s="5" t="inlineStr">
        <is>
          <t>V</t>
        </is>
      </c>
      <c r="C5" s="6" t="inlineStr">
        <is>
          <t>Visa</t>
        </is>
      </c>
      <c r="D5" s="6" t="inlineStr">
        <is>
          <t>Payments</t>
        </is>
      </c>
      <c r="E5" s="7" t="n">
        <v>608</v>
      </c>
      <c r="F5" s="8">
        <f>E5/E55*100</f>
        <v/>
      </c>
      <c r="G5" s="8">
        <f>F5</f>
        <v/>
      </c>
    </row>
    <row r="6">
      <c r="A6" s="9" t="n">
        <v>2</v>
      </c>
      <c r="B6" s="10" t="inlineStr">
        <is>
          <t>MA</t>
        </is>
      </c>
      <c r="C6" s="11" t="inlineStr">
        <is>
          <t>Mastercard</t>
        </is>
      </c>
      <c r="D6" s="11" t="inlineStr">
        <is>
          <t>Payments</t>
        </is>
      </c>
      <c r="E6" s="12" t="n">
        <v>464</v>
      </c>
      <c r="F6" s="13">
        <f>E6/E55*100</f>
        <v/>
      </c>
      <c r="G6" s="13">
        <f>G5+F6</f>
        <v/>
      </c>
    </row>
    <row r="7">
      <c r="A7" s="4" t="n">
        <v>3</v>
      </c>
      <c r="B7" s="5" t="inlineStr">
        <is>
          <t>ADBE</t>
        </is>
      </c>
      <c r="C7" s="6" t="inlineStr">
        <is>
          <t>Adobe</t>
        </is>
      </c>
      <c r="D7" s="6" t="inlineStr">
        <is>
          <t>E-com SaaS / MarTech</t>
        </is>
      </c>
      <c r="E7" s="7" t="n">
        <v>99</v>
      </c>
      <c r="F7" s="8">
        <f>E7/E55*100</f>
        <v/>
      </c>
      <c r="G7" s="8">
        <f>G6+F7</f>
        <v/>
      </c>
    </row>
    <row r="8">
      <c r="A8" s="9" t="n">
        <v>4</v>
      </c>
      <c r="B8" s="10" t="inlineStr">
        <is>
          <t>UPS</t>
        </is>
      </c>
      <c r="C8" s="11" t="inlineStr">
        <is>
          <t>United Parcel Service</t>
        </is>
      </c>
      <c r="D8" s="11" t="inlineStr">
        <is>
          <t>Logistics</t>
        </is>
      </c>
      <c r="E8" s="12" t="n">
        <v>87</v>
      </c>
      <c r="F8" s="13">
        <f>E8/E55*100</f>
        <v/>
      </c>
      <c r="G8" s="13">
        <f>G7+F8</f>
        <v/>
      </c>
    </row>
    <row r="9">
      <c r="A9" s="4" t="n">
        <v>5</v>
      </c>
      <c r="B9" s="5" t="inlineStr">
        <is>
          <t>FDX</t>
        </is>
      </c>
      <c r="C9" s="6" t="inlineStr">
        <is>
          <t>FedEx</t>
        </is>
      </c>
      <c r="D9" s="6" t="inlineStr">
        <is>
          <t>Logistics</t>
        </is>
      </c>
      <c r="E9" s="7" t="n">
        <v>86</v>
      </c>
      <c r="F9" s="8">
        <f>E9/E55*100</f>
        <v/>
      </c>
      <c r="G9" s="8">
        <f>G8+F9</f>
        <v/>
      </c>
    </row>
    <row r="10">
      <c r="A10" s="9" t="n">
        <v>6</v>
      </c>
      <c r="B10" s="10" t="inlineStr">
        <is>
          <t>NET</t>
        </is>
      </c>
      <c r="C10" s="11" t="inlineStr">
        <is>
          <t>Cloudflare</t>
        </is>
      </c>
      <c r="D10" s="11" t="inlineStr">
        <is>
          <t>Infrastructure</t>
        </is>
      </c>
      <c r="E10" s="12" t="n">
        <v>66</v>
      </c>
      <c r="F10" s="13">
        <f>E10/E55*100</f>
        <v/>
      </c>
      <c r="G10" s="13">
        <f>G9+F10</f>
        <v/>
      </c>
    </row>
    <row r="11">
      <c r="A11" s="4" t="n">
        <v>7</v>
      </c>
      <c r="B11" s="5" t="inlineStr">
        <is>
          <t>PYPL</t>
        </is>
      </c>
      <c r="C11" s="6" t="inlineStr">
        <is>
          <t>PayPal</t>
        </is>
      </c>
      <c r="D11" s="6" t="inlineStr">
        <is>
          <t>Payments / BNPL</t>
        </is>
      </c>
      <c r="E11" s="7" t="n">
        <v>45</v>
      </c>
      <c r="F11" s="8">
        <f>E11/E55*100</f>
        <v/>
      </c>
      <c r="G11" s="8">
        <f>G10+F11</f>
        <v/>
      </c>
    </row>
    <row r="12">
      <c r="A12" s="9" t="n">
        <v>8</v>
      </c>
      <c r="B12" s="10" t="inlineStr">
        <is>
          <t>XYZ</t>
        </is>
      </c>
      <c r="C12" s="11" t="inlineStr">
        <is>
          <t>Block (Square)</t>
        </is>
      </c>
      <c r="D12" s="11" t="inlineStr">
        <is>
          <t>Payments / POS</t>
        </is>
      </c>
      <c r="E12" s="12" t="n">
        <v>41</v>
      </c>
      <c r="F12" s="13">
        <f>E12/E55*100</f>
        <v/>
      </c>
      <c r="G12" s="13">
        <f>G11+F12</f>
        <v/>
      </c>
    </row>
    <row r="13">
      <c r="A13" s="4" t="n">
        <v>9</v>
      </c>
      <c r="B13" s="5" t="inlineStr">
        <is>
          <t>DDOG</t>
        </is>
      </c>
      <c r="C13" s="6" t="inlineStr">
        <is>
          <t>Datadog</t>
        </is>
      </c>
      <c r="D13" s="6" t="inlineStr">
        <is>
          <t>Analytics / Infra</t>
        </is>
      </c>
      <c r="E13" s="7" t="n">
        <v>38</v>
      </c>
      <c r="F13" s="8">
        <f>E13/E55*100</f>
        <v/>
      </c>
      <c r="G13" s="8">
        <f>G12+F13</f>
        <v/>
      </c>
    </row>
    <row r="14">
      <c r="A14" s="9" t="n">
        <v>10</v>
      </c>
      <c r="B14" s="10" t="inlineStr">
        <is>
          <t>ADYEN</t>
        </is>
      </c>
      <c r="C14" s="11" t="inlineStr">
        <is>
          <t>Adyen</t>
        </is>
      </c>
      <c r="D14" s="11" t="inlineStr">
        <is>
          <t>Payments</t>
        </is>
      </c>
      <c r="E14" s="12" t="n">
        <v>36</v>
      </c>
      <c r="F14" s="13">
        <f>E14/E55*100</f>
        <v/>
      </c>
      <c r="G14" s="13">
        <f>G13+F14</f>
        <v/>
      </c>
    </row>
    <row r="15">
      <c r="A15" s="4" t="n">
        <v>11</v>
      </c>
      <c r="B15" s="5" t="inlineStr">
        <is>
          <t>FISV</t>
        </is>
      </c>
      <c r="C15" s="6" t="inlineStr">
        <is>
          <t>Fiserv</t>
        </is>
      </c>
      <c r="D15" s="6" t="inlineStr">
        <is>
          <t>Payments / Processing</t>
        </is>
      </c>
      <c r="E15" s="7" t="n">
        <v>33</v>
      </c>
      <c r="F15" s="8">
        <f>E15/E55*100</f>
        <v/>
      </c>
      <c r="G15" s="8">
        <f>G14+F15</f>
        <v/>
      </c>
    </row>
    <row r="16">
      <c r="A16" s="9" t="n">
        <v>12</v>
      </c>
      <c r="B16" s="10" t="inlineStr">
        <is>
          <t>FIS</t>
        </is>
      </c>
      <c r="C16" s="11" t="inlineStr">
        <is>
          <t>Fidelity Natl Info Svcs</t>
        </is>
      </c>
      <c r="D16" s="11" t="inlineStr">
        <is>
          <t>Payments / Processing</t>
        </is>
      </c>
      <c r="E16" s="12" t="n">
        <v>25</v>
      </c>
      <c r="F16" s="13">
        <f>E16/E55*100</f>
        <v/>
      </c>
      <c r="G16" s="13">
        <f>G15+F16</f>
        <v/>
      </c>
    </row>
    <row r="17">
      <c r="A17" s="4" t="n">
        <v>13</v>
      </c>
      <c r="B17" s="5" t="inlineStr">
        <is>
          <t>XPO</t>
        </is>
      </c>
      <c r="C17" s="6" t="inlineStr">
        <is>
          <t>XPO Logistics</t>
        </is>
      </c>
      <c r="D17" s="6" t="inlineStr">
        <is>
          <t>Logistics</t>
        </is>
      </c>
      <c r="E17" s="7" t="n">
        <v>25</v>
      </c>
      <c r="F17" s="8">
        <f>E17/E55*100</f>
        <v/>
      </c>
      <c r="G17" s="8">
        <f>G16+F17</f>
        <v/>
      </c>
    </row>
    <row r="18">
      <c r="A18" s="9" t="n">
        <v>14</v>
      </c>
      <c r="B18" s="10" t="inlineStr">
        <is>
          <t>AFRM</t>
        </is>
      </c>
      <c r="C18" s="11" t="inlineStr">
        <is>
          <t>Affirm</t>
        </is>
      </c>
      <c r="D18" s="11" t="inlineStr">
        <is>
          <t>BNPL</t>
        </is>
      </c>
      <c r="E18" s="12" t="n">
        <v>20</v>
      </c>
      <c r="F18" s="13">
        <f>E18/E55*100</f>
        <v/>
      </c>
      <c r="G18" s="13">
        <f>G17+F18</f>
        <v/>
      </c>
    </row>
    <row r="19">
      <c r="A19" s="4" t="n">
        <v>15</v>
      </c>
      <c r="B19" s="5" t="inlineStr">
        <is>
          <t>TWLO</t>
        </is>
      </c>
      <c r="C19" s="6" t="inlineStr">
        <is>
          <t>Twilio</t>
        </is>
      </c>
      <c r="D19" s="6" t="inlineStr">
        <is>
          <t>Comm / Analytics</t>
        </is>
      </c>
      <c r="E19" s="7" t="n">
        <v>20</v>
      </c>
      <c r="F19" s="8">
        <f>E19/E55*100</f>
        <v/>
      </c>
      <c r="G19" s="8">
        <f>G18+F19</f>
        <v/>
      </c>
    </row>
    <row r="20">
      <c r="A20" s="9" t="n">
        <v>16</v>
      </c>
      <c r="B20" s="10" t="inlineStr">
        <is>
          <t>GPN</t>
        </is>
      </c>
      <c r="C20" s="11" t="inlineStr">
        <is>
          <t>Global Payments</t>
        </is>
      </c>
      <c r="D20" s="11" t="inlineStr">
        <is>
          <t>Payments / Processing</t>
        </is>
      </c>
      <c r="E20" s="12" t="n">
        <v>20</v>
      </c>
      <c r="F20" s="13">
        <f>E20/E55*100</f>
        <v/>
      </c>
      <c r="G20" s="13">
        <f>G19+F20</f>
        <v/>
      </c>
    </row>
    <row r="21">
      <c r="A21" s="4" t="n">
        <v>17</v>
      </c>
      <c r="B21" s="5" t="inlineStr">
        <is>
          <t>TOST</t>
        </is>
      </c>
      <c r="C21" s="6" t="inlineStr">
        <is>
          <t>Toast</t>
        </is>
      </c>
      <c r="D21" s="6" t="inlineStr">
        <is>
          <t>Payments / POS</t>
        </is>
      </c>
      <c r="E21" s="7" t="n">
        <v>17</v>
      </c>
      <c r="F21" s="8">
        <f>E21/E55*100</f>
        <v/>
      </c>
      <c r="G21" s="8">
        <f>G20+F21</f>
        <v/>
      </c>
    </row>
    <row r="22">
      <c r="A22" s="9" t="n">
        <v>18</v>
      </c>
      <c r="B22" s="10" t="inlineStr">
        <is>
          <t>AKAM</t>
        </is>
      </c>
      <c r="C22" s="11" t="inlineStr">
        <is>
          <t>Akamai</t>
        </is>
      </c>
      <c r="D22" s="11" t="inlineStr">
        <is>
          <t>Infrastructure</t>
        </is>
      </c>
      <c r="E22" s="12" t="n">
        <v>13</v>
      </c>
      <c r="F22" s="13">
        <f>E22/E55*100</f>
        <v/>
      </c>
      <c r="G22" s="13">
        <f>G21+F22</f>
        <v/>
      </c>
    </row>
    <row r="23">
      <c r="A23" s="4" t="n">
        <v>19</v>
      </c>
      <c r="B23" s="5" t="inlineStr">
        <is>
          <t>PINS</t>
        </is>
      </c>
      <c r="C23" s="6" t="inlineStr">
        <is>
          <t>Pinterest</t>
        </is>
      </c>
      <c r="D23" s="6" t="inlineStr">
        <is>
          <t>AdTech / Social Commerce</t>
        </is>
      </c>
      <c r="E23" s="7" t="n">
        <v>13</v>
      </c>
      <c r="F23" s="8">
        <f>E23/E55*100</f>
        <v/>
      </c>
      <c r="G23" s="8">
        <f>G22+F23</f>
        <v/>
      </c>
    </row>
    <row r="24">
      <c r="A24" s="9" t="n">
        <v>20</v>
      </c>
      <c r="B24" s="10" t="inlineStr">
        <is>
          <t>HUBS</t>
        </is>
      </c>
      <c r="C24" s="11" t="inlineStr">
        <is>
          <t>HubSpot</t>
        </is>
      </c>
      <c r="D24" s="11" t="inlineStr">
        <is>
          <t>Marketing SaaS</t>
        </is>
      </c>
      <c r="E24" s="12" t="n">
        <v>11</v>
      </c>
      <c r="F24" s="13">
        <f>E24/E55*100</f>
        <v/>
      </c>
      <c r="G24" s="13">
        <f>G23+F24</f>
        <v/>
      </c>
    </row>
    <row r="25">
      <c r="A25" s="4" t="n">
        <v>21</v>
      </c>
      <c r="B25" s="5" t="inlineStr">
        <is>
          <t>GDDY</t>
        </is>
      </c>
      <c r="C25" s="6" t="inlineStr">
        <is>
          <t>GoDaddy</t>
        </is>
      </c>
      <c r="D25" s="6" t="inlineStr">
        <is>
          <t>E-com SaaS / Hosting</t>
        </is>
      </c>
      <c r="E25" s="7" t="n">
        <v>11</v>
      </c>
      <c r="F25" s="8">
        <f>E25/E55*100</f>
        <v/>
      </c>
      <c r="G25" s="8">
        <f>G24+F25</f>
        <v/>
      </c>
    </row>
    <row r="26">
      <c r="A26" s="9" t="n">
        <v>22</v>
      </c>
      <c r="B26" s="10" t="inlineStr">
        <is>
          <t>TTD</t>
        </is>
      </c>
      <c r="C26" s="11" t="inlineStr">
        <is>
          <t>The Trade Desk</t>
        </is>
      </c>
      <c r="D26" s="11" t="inlineStr">
        <is>
          <t>AdTech</t>
        </is>
      </c>
      <c r="E26" s="12" t="n">
        <v>11</v>
      </c>
      <c r="F26" s="13">
        <f>E26/E55*100</f>
        <v/>
      </c>
      <c r="G26" s="13">
        <f>G25+F26</f>
        <v/>
      </c>
    </row>
    <row r="27">
      <c r="A27" s="4" t="n">
        <v>23</v>
      </c>
      <c r="B27" s="5" t="inlineStr">
        <is>
          <t>SNAP</t>
        </is>
      </c>
      <c r="C27" s="6" t="inlineStr">
        <is>
          <t>Snap</t>
        </is>
      </c>
      <c r="D27" s="6" t="inlineStr">
        <is>
          <t>AdTech / Social Commerce</t>
        </is>
      </c>
      <c r="E27" s="7" t="n">
        <v>10</v>
      </c>
      <c r="F27" s="8">
        <f>E27/E55*100</f>
        <v/>
      </c>
      <c r="G27" s="8">
        <f>G26+F27</f>
        <v/>
      </c>
    </row>
    <row r="28">
      <c r="A28" s="9" t="n">
        <v>24</v>
      </c>
      <c r="B28" s="10" t="inlineStr">
        <is>
          <t>MANH</t>
        </is>
      </c>
      <c r="C28" s="11" t="inlineStr">
        <is>
          <t>Manhattan Associates</t>
        </is>
      </c>
      <c r="D28" s="11" t="inlineStr">
        <is>
          <t>Fulfillment / WMS</t>
        </is>
      </c>
      <c r="E28" s="12" t="n">
        <v>8</v>
      </c>
      <c r="F28" s="13">
        <f>E28/E55*100</f>
        <v/>
      </c>
      <c r="G28" s="13">
        <f>G27+F28</f>
        <v/>
      </c>
    </row>
    <row r="29">
      <c r="A29" s="4" t="n">
        <v>25</v>
      </c>
      <c r="B29" s="5" t="inlineStr">
        <is>
          <t>GXO</t>
        </is>
      </c>
      <c r="C29" s="6" t="inlineStr">
        <is>
          <t>GXO Logistics</t>
        </is>
      </c>
      <c r="D29" s="6" t="inlineStr">
        <is>
          <t>Fulfillment / 3PL</t>
        </is>
      </c>
      <c r="E29" s="7" t="n">
        <v>6</v>
      </c>
      <c r="F29" s="8">
        <f>E29/E55*100</f>
        <v/>
      </c>
      <c r="G29" s="8">
        <f>G28+F29</f>
        <v/>
      </c>
    </row>
    <row r="30">
      <c r="A30" s="9" t="n">
        <v>26</v>
      </c>
      <c r="B30" s="10" t="inlineStr">
        <is>
          <t>DSGX</t>
        </is>
      </c>
      <c r="C30" s="11" t="inlineStr">
        <is>
          <t>Descartes Systems</t>
        </is>
      </c>
      <c r="D30" s="11" t="inlineStr">
        <is>
          <t>Logistics Tech</t>
        </is>
      </c>
      <c r="E30" s="12" t="n">
        <v>6</v>
      </c>
      <c r="F30" s="13">
        <f>E30/E55*100</f>
        <v/>
      </c>
      <c r="G30" s="13">
        <f>G29+F30</f>
        <v/>
      </c>
    </row>
    <row r="31">
      <c r="A31" s="4" t="n">
        <v>27</v>
      </c>
      <c r="B31" s="5" t="inlineStr">
        <is>
          <t>GLBE</t>
        </is>
      </c>
      <c r="C31" s="6" t="inlineStr">
        <is>
          <t>Global-E Online</t>
        </is>
      </c>
      <c r="D31" s="6" t="inlineStr">
        <is>
          <t>Cross-border</t>
        </is>
      </c>
      <c r="E31" s="7" t="n">
        <v>6</v>
      </c>
      <c r="F31" s="8">
        <f>E31/E55*100</f>
        <v/>
      </c>
      <c r="G31" s="8">
        <f>G30+F31</f>
        <v/>
      </c>
    </row>
    <row r="32">
      <c r="A32" s="9" t="n">
        <v>28</v>
      </c>
      <c r="B32" s="10" t="inlineStr">
        <is>
          <t>KLAR</t>
        </is>
      </c>
      <c r="C32" s="11" t="inlineStr">
        <is>
          <t>Klarna</t>
        </is>
      </c>
      <c r="D32" s="11" t="inlineStr">
        <is>
          <t>BNPL</t>
        </is>
      </c>
      <c r="E32" s="12" t="n">
        <v>5.6</v>
      </c>
      <c r="F32" s="13">
        <f>E32/E55*100</f>
        <v/>
      </c>
      <c r="G32" s="13">
        <f>G31+F32</f>
        <v/>
      </c>
    </row>
    <row r="33">
      <c r="A33" s="4" t="n">
        <v>29</v>
      </c>
      <c r="B33" s="5" t="inlineStr">
        <is>
          <t>KVYO</t>
        </is>
      </c>
      <c r="C33" s="6" t="inlineStr">
        <is>
          <t>Klaviyo</t>
        </is>
      </c>
      <c r="D33" s="6" t="inlineStr">
        <is>
          <t>Marketing SaaS</t>
        </is>
      </c>
      <c r="E33" s="7" t="n">
        <v>5.5</v>
      </c>
      <c r="F33" s="8">
        <f>E33/E55*100</f>
        <v/>
      </c>
      <c r="G33" s="8">
        <f>G32+F33</f>
        <v/>
      </c>
    </row>
    <row r="34">
      <c r="A34" s="9" t="n">
        <v>30</v>
      </c>
      <c r="B34" s="10" t="inlineStr">
        <is>
          <t>ESTC</t>
        </is>
      </c>
      <c r="C34" s="11" t="inlineStr">
        <is>
          <t>Elastic</t>
        </is>
      </c>
      <c r="D34" s="11" t="inlineStr">
        <is>
          <t>Search / Analytics</t>
        </is>
      </c>
      <c r="E34" s="12" t="n">
        <v>5</v>
      </c>
      <c r="F34" s="13">
        <f>E34/E55*100</f>
        <v/>
      </c>
      <c r="G34" s="13">
        <f>G33+F34</f>
        <v/>
      </c>
    </row>
    <row r="35">
      <c r="A35" s="4" t="n">
        <v>31</v>
      </c>
      <c r="B35" s="5" t="inlineStr">
        <is>
          <t>FOUR</t>
        </is>
      </c>
      <c r="C35" s="6" t="inlineStr">
        <is>
          <t>Shift4 Payments</t>
        </is>
      </c>
      <c r="D35" s="6" t="inlineStr">
        <is>
          <t>Payments</t>
        </is>
      </c>
      <c r="E35" s="7" t="n">
        <v>4.8</v>
      </c>
      <c r="F35" s="8">
        <f>E35/E55*100</f>
        <v/>
      </c>
      <c r="G35" s="8">
        <f>G34+F35</f>
        <v/>
      </c>
    </row>
    <row r="36">
      <c r="A36" s="9" t="n">
        <v>32</v>
      </c>
      <c r="B36" s="10" t="inlineStr">
        <is>
          <t>CMRC</t>
        </is>
      </c>
      <c r="C36" s="11" t="inlineStr">
        <is>
          <t>Commerce.com (fka BigCommerce)</t>
        </is>
      </c>
      <c r="D36" s="11" t="inlineStr">
        <is>
          <t>E-com SaaS</t>
        </is>
      </c>
      <c r="E36" s="12" t="n">
        <v>4</v>
      </c>
      <c r="F36" s="13">
        <f>E36/E55*100</f>
        <v/>
      </c>
      <c r="G36" s="13">
        <f>G35+F36</f>
        <v/>
      </c>
    </row>
    <row r="37">
      <c r="A37" s="4" t="n">
        <v>33</v>
      </c>
      <c r="B37" s="5" t="inlineStr">
        <is>
          <t>DLO</t>
        </is>
      </c>
      <c r="C37" s="6" t="inlineStr">
        <is>
          <t>dLocal</t>
        </is>
      </c>
      <c r="D37" s="6" t="inlineStr">
        <is>
          <t>Cross-border Payments</t>
        </is>
      </c>
      <c r="E37" s="7" t="n">
        <v>4</v>
      </c>
      <c r="F37" s="8">
        <f>E37/E55*100</f>
        <v/>
      </c>
      <c r="G37" s="8">
        <f>G36+F37</f>
        <v/>
      </c>
    </row>
    <row r="38">
      <c r="A38" s="9" t="n">
        <v>34</v>
      </c>
      <c r="B38" s="10" t="inlineStr">
        <is>
          <t>BILL</t>
        </is>
      </c>
      <c r="C38" s="11" t="inlineStr">
        <is>
          <t>Bill Holdings</t>
        </is>
      </c>
      <c r="D38" s="11" t="inlineStr">
        <is>
          <t>Payments / AP-AR</t>
        </is>
      </c>
      <c r="E38" s="12" t="n">
        <v>3.8</v>
      </c>
      <c r="F38" s="13">
        <f>E38/E55*100</f>
        <v/>
      </c>
      <c r="G38" s="13">
        <f>G37+F38</f>
        <v/>
      </c>
    </row>
    <row r="39">
      <c r="A39" s="4" t="n">
        <v>35</v>
      </c>
      <c r="B39" s="5" t="inlineStr">
        <is>
          <t>FSLY</t>
        </is>
      </c>
      <c r="C39" s="6" t="inlineStr">
        <is>
          <t>Fastly</t>
        </is>
      </c>
      <c r="D39" s="6" t="inlineStr">
        <is>
          <t>Infrastructure</t>
        </is>
      </c>
      <c r="E39" s="7" t="n">
        <v>3.4</v>
      </c>
      <c r="F39" s="8">
        <f>E39/E55*100</f>
        <v/>
      </c>
      <c r="G39" s="8">
        <f>G38+F39</f>
        <v/>
      </c>
    </row>
    <row r="40">
      <c r="A40" s="9" t="n">
        <v>36</v>
      </c>
      <c r="B40" s="10" t="inlineStr">
        <is>
          <t>BRZE</t>
        </is>
      </c>
      <c r="C40" s="11" t="inlineStr">
        <is>
          <t>Braze</t>
        </is>
      </c>
      <c r="D40" s="11" t="inlineStr">
        <is>
          <t>Marketing SaaS</t>
        </is>
      </c>
      <c r="E40" s="12" t="n">
        <v>2.6</v>
      </c>
      <c r="F40" s="13">
        <f>E40/E55*100</f>
        <v/>
      </c>
      <c r="G40" s="13">
        <f>G39+F40</f>
        <v/>
      </c>
    </row>
    <row r="41">
      <c r="A41" s="4" t="n">
        <v>37</v>
      </c>
      <c r="B41" s="5" t="inlineStr">
        <is>
          <t>SEZL</t>
        </is>
      </c>
      <c r="C41" s="6" t="inlineStr">
        <is>
          <t>Sezzle</t>
        </is>
      </c>
      <c r="D41" s="6" t="inlineStr">
        <is>
          <t>BNPL</t>
        </is>
      </c>
      <c r="E41" s="7" t="n">
        <v>2.4</v>
      </c>
      <c r="F41" s="8">
        <f>E41/E55*100</f>
        <v/>
      </c>
      <c r="G41" s="8">
        <f>G40+F41</f>
        <v/>
      </c>
    </row>
    <row r="42">
      <c r="A42" s="9" t="n">
        <v>38</v>
      </c>
      <c r="B42" s="10" t="inlineStr">
        <is>
          <t>MQ</t>
        </is>
      </c>
      <c r="C42" s="11" t="inlineStr">
        <is>
          <t>Marqeta</t>
        </is>
      </c>
      <c r="D42" s="11" t="inlineStr">
        <is>
          <t>Payments / Card Issuing</t>
        </is>
      </c>
      <c r="E42" s="12" t="n">
        <v>1.8</v>
      </c>
      <c r="F42" s="13">
        <f>E42/E55*100</f>
        <v/>
      </c>
      <c r="G42" s="13">
        <f>G41+F42</f>
        <v/>
      </c>
    </row>
    <row r="43">
      <c r="A43" s="4" t="n">
        <v>39</v>
      </c>
      <c r="B43" s="5" t="inlineStr">
        <is>
          <t>PAYO</t>
        </is>
      </c>
      <c r="C43" s="6" t="inlineStr">
        <is>
          <t>Payoneer</t>
        </is>
      </c>
      <c r="D43" s="6" t="inlineStr">
        <is>
          <t>Cross-border Payments</t>
        </is>
      </c>
      <c r="E43" s="7" t="n">
        <v>1.8</v>
      </c>
      <c r="F43" s="8">
        <f>E43/E55*100</f>
        <v/>
      </c>
      <c r="G43" s="8">
        <f>G42+F43</f>
        <v/>
      </c>
    </row>
    <row r="44">
      <c r="A44" s="9" t="n">
        <v>40</v>
      </c>
      <c r="B44" s="10" t="inlineStr">
        <is>
          <t>RAMP</t>
        </is>
      </c>
      <c r="C44" s="11" t="inlineStr">
        <is>
          <t>LiveRamp</t>
        </is>
      </c>
      <c r="D44" s="11" t="inlineStr">
        <is>
          <t>AdTech / Data</t>
        </is>
      </c>
      <c r="E44" s="12" t="n">
        <v>1.7</v>
      </c>
      <c r="F44" s="13">
        <f>E44/E55*100</f>
        <v/>
      </c>
      <c r="G44" s="13">
        <f>G43+F44</f>
        <v/>
      </c>
    </row>
    <row r="45">
      <c r="A45" s="4" t="n">
        <v>41</v>
      </c>
      <c r="B45" s="5" t="inlineStr">
        <is>
          <t>DV</t>
        </is>
      </c>
      <c r="C45" s="6" t="inlineStr">
        <is>
          <t>DoubleVerify</t>
        </is>
      </c>
      <c r="D45" s="6" t="inlineStr">
        <is>
          <t>AdTech / Verification</t>
        </is>
      </c>
      <c r="E45" s="7" t="n">
        <v>1.7</v>
      </c>
      <c r="F45" s="8">
        <f>E45/E55*100</f>
        <v/>
      </c>
      <c r="G45" s="8">
        <f>G44+F45</f>
        <v/>
      </c>
    </row>
    <row r="46">
      <c r="A46" s="9" t="n">
        <v>42</v>
      </c>
      <c r="B46" s="10" t="inlineStr">
        <is>
          <t>FLYW</t>
        </is>
      </c>
      <c r="C46" s="11" t="inlineStr">
        <is>
          <t>Flywire</t>
        </is>
      </c>
      <c r="D46" s="11" t="inlineStr">
        <is>
          <t>Cross-border Payments</t>
        </is>
      </c>
      <c r="E46" s="12" t="n">
        <v>1.6</v>
      </c>
      <c r="F46" s="13">
        <f>E46/E55*100</f>
        <v/>
      </c>
      <c r="G46" s="13">
        <f>G45+F46</f>
        <v/>
      </c>
    </row>
    <row r="47">
      <c r="A47" s="4" t="n">
        <v>43</v>
      </c>
      <c r="B47" s="5" t="inlineStr">
        <is>
          <t>CXM</t>
        </is>
      </c>
      <c r="C47" s="6" t="inlineStr">
        <is>
          <t>Sprinklr</t>
        </is>
      </c>
      <c r="D47" s="6" t="inlineStr">
        <is>
          <t>Customer Experience</t>
        </is>
      </c>
      <c r="E47" s="7" t="n">
        <v>1.3</v>
      </c>
      <c r="F47" s="8">
        <f>E47/E55*100</f>
        <v/>
      </c>
      <c r="G47" s="8">
        <f>G46+F47</f>
        <v/>
      </c>
    </row>
    <row r="48">
      <c r="A48" s="9" t="n">
        <v>44</v>
      </c>
      <c r="B48" s="10" t="inlineStr">
        <is>
          <t>LSPD</t>
        </is>
      </c>
      <c r="C48" s="11" t="inlineStr">
        <is>
          <t>Lightspeed Commerce</t>
        </is>
      </c>
      <c r="D48" s="11" t="inlineStr">
        <is>
          <t>E-com SaaS / POS</t>
        </is>
      </c>
      <c r="E48" s="12" t="n">
        <v>1.3</v>
      </c>
      <c r="F48" s="13">
        <f>E48/E55*100</f>
        <v/>
      </c>
      <c r="G48" s="13">
        <f>G47+F48</f>
        <v/>
      </c>
    </row>
    <row r="49">
      <c r="A49" s="4" t="n">
        <v>45</v>
      </c>
      <c r="B49" s="5" t="inlineStr">
        <is>
          <t>PGY</t>
        </is>
      </c>
      <c r="C49" s="6" t="inlineStr">
        <is>
          <t>Pagaya Technologies</t>
        </is>
      </c>
      <c r="D49" s="6" t="inlineStr">
        <is>
          <t>Fintech / Lending</t>
        </is>
      </c>
      <c r="E49" s="7" t="n">
        <v>1.1</v>
      </c>
      <c r="F49" s="8">
        <f>E49/E55*100</f>
        <v/>
      </c>
      <c r="G49" s="8">
        <f>G48+F49</f>
        <v/>
      </c>
    </row>
    <row r="50">
      <c r="A50" s="9" t="n">
        <v>46</v>
      </c>
      <c r="B50" s="10" t="inlineStr">
        <is>
          <t>TBLA</t>
        </is>
      </c>
      <c r="C50" s="11" t="inlineStr">
        <is>
          <t>Taboola</t>
        </is>
      </c>
      <c r="D50" s="11" t="inlineStr">
        <is>
          <t>AdTech</t>
        </is>
      </c>
      <c r="E50" s="12" t="n">
        <v>1</v>
      </c>
      <c r="F50" s="13">
        <f>E50/E55*100</f>
        <v/>
      </c>
      <c r="G50" s="13">
        <f>G49+F50</f>
        <v/>
      </c>
    </row>
    <row r="51">
      <c r="A51" s="4" t="n">
        <v>47</v>
      </c>
      <c r="B51" s="5" t="inlineStr">
        <is>
          <t>CRTO</t>
        </is>
      </c>
      <c r="C51" s="6" t="inlineStr">
        <is>
          <t>Criteo</t>
        </is>
      </c>
      <c r="D51" s="6" t="inlineStr">
        <is>
          <t>AdTech / Retargeting</t>
        </is>
      </c>
      <c r="E51" s="7" t="n">
        <v>1</v>
      </c>
      <c r="F51" s="8">
        <f>E51/E55*100</f>
        <v/>
      </c>
      <c r="G51" s="8">
        <f>G50+F51</f>
        <v/>
      </c>
    </row>
    <row r="52">
      <c r="A52" s="9" t="n">
        <v>48</v>
      </c>
      <c r="B52" s="10" t="inlineStr">
        <is>
          <t>AMPL</t>
        </is>
      </c>
      <c r="C52" s="11" t="inlineStr">
        <is>
          <t>Amplitude</t>
        </is>
      </c>
      <c r="D52" s="11" t="inlineStr">
        <is>
          <t>Analytics</t>
        </is>
      </c>
      <c r="E52" s="12" t="n">
        <v>0.9</v>
      </c>
      <c r="F52" s="13">
        <f>E52/E55*100</f>
        <v/>
      </c>
      <c r="G52" s="13">
        <f>G51+F52</f>
        <v/>
      </c>
    </row>
    <row r="53">
      <c r="A53" s="4" t="n">
        <v>49</v>
      </c>
      <c r="B53" s="5" t="inlineStr">
        <is>
          <t>VTEX</t>
        </is>
      </c>
      <c r="C53" s="6" t="inlineStr">
        <is>
          <t>VTEX</t>
        </is>
      </c>
      <c r="D53" s="6" t="inlineStr">
        <is>
          <t>E-com SaaS</t>
        </is>
      </c>
      <c r="E53" s="7" t="n">
        <v>0.7</v>
      </c>
      <c r="F53" s="8">
        <f>E53/E55*100</f>
        <v/>
      </c>
      <c r="G53" s="8">
        <f>G52+F53</f>
        <v/>
      </c>
    </row>
    <row r="54">
      <c r="A54" s="9" t="n">
        <v>50</v>
      </c>
      <c r="B54" s="10" t="inlineStr">
        <is>
          <t>RSKD</t>
        </is>
      </c>
      <c r="C54" s="11" t="inlineStr">
        <is>
          <t>Riskified</t>
        </is>
      </c>
      <c r="D54" s="11" t="inlineStr">
        <is>
          <t>Fraud / Security</t>
        </is>
      </c>
      <c r="E54" s="12" t="n">
        <v>0.6</v>
      </c>
      <c r="F54" s="13">
        <f>E54/E55*100</f>
        <v/>
      </c>
      <c r="G54" s="13">
        <f>G53+F54</f>
        <v/>
      </c>
    </row>
    <row r="55">
      <c r="A55" s="14" t="inlineStr"/>
      <c r="B55" s="15" t="n"/>
      <c r="C55" s="16" t="inlineStr">
        <is>
          <t>TOTAL</t>
        </is>
      </c>
      <c r="D55" s="15" t="inlineStr">
        <is>
          <t>50 stocks</t>
        </is>
      </c>
      <c r="E55" s="17">
        <f>SUM(E5:E54)</f>
        <v/>
      </c>
      <c r="F55" s="18" t="n">
        <v>100</v>
      </c>
      <c r="G55" s="18" t="n">
        <v>100</v>
      </c>
    </row>
    <row r="57">
      <c r="A57" s="19" t="inlineStr">
        <is>
          <t>⚠ Top holding: Visa at 32.3% weight</t>
        </is>
      </c>
    </row>
    <row r="58">
      <c r="A58" s="19" t="inlineStr">
        <is>
          <t>⚠ Top 5 concentration: 71.4% of index</t>
        </is>
      </c>
    </row>
  </sheetData>
  <mergeCells count="4">
    <mergeCell ref="A57:G57"/>
    <mergeCell ref="A2:G2"/>
    <mergeCell ref="A58:G5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2042D"/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20" t="inlineStr">
        <is>
          <t>DC Index (Master) — All E-Commerce Stocks, Market-Cap Weighted</t>
        </is>
      </c>
    </row>
    <row r="2">
      <c r="A2" s="2" t="inlineStr">
        <is>
          <t>117 constituents · Union of Brands + Marketplaces + Software · Base: Jan 2, 2024 = 100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Sub-Index</t>
        </is>
      </c>
      <c r="E4" s="3" t="inlineStr">
        <is>
          <t>Mkt Cap ($B)</t>
        </is>
      </c>
      <c r="F4" s="3" t="inlineStr">
        <is>
          <t>Weight (%)</t>
        </is>
      </c>
      <c r="G4" s="3" t="inlineStr">
        <is>
          <t>Cumulative (%)</t>
        </is>
      </c>
      <c r="H4" s="3" t="inlineStr">
        <is>
          <t>Top 100?</t>
        </is>
      </c>
    </row>
    <row r="5">
      <c r="A5" s="4" t="n">
        <v>1</v>
      </c>
      <c r="B5" s="5" t="inlineStr">
        <is>
          <t>AMZN</t>
        </is>
      </c>
      <c r="C5" s="6" t="inlineStr">
        <is>
          <t>Amazon.com</t>
        </is>
      </c>
      <c r="D5" s="21" t="inlineStr">
        <is>
          <t>Marketplaces</t>
        </is>
      </c>
      <c r="E5" s="7" t="n">
        <v>2560</v>
      </c>
      <c r="F5" s="22">
        <f>E5/E122*100</f>
        <v/>
      </c>
      <c r="G5" s="8">
        <f>F5</f>
        <v/>
      </c>
      <c r="H5" s="23" t="inlineStr">
        <is>
          <t>✓</t>
        </is>
      </c>
    </row>
    <row r="6">
      <c r="A6" s="4" t="n">
        <v>2</v>
      </c>
      <c r="B6" s="5" t="inlineStr">
        <is>
          <t>V</t>
        </is>
      </c>
      <c r="C6" s="6" t="inlineStr">
        <is>
          <t>Visa</t>
        </is>
      </c>
      <c r="D6" s="24" t="inlineStr">
        <is>
          <t>Software</t>
        </is>
      </c>
      <c r="E6" s="7" t="n">
        <v>608</v>
      </c>
      <c r="F6" s="22">
        <f>E6/E122*100</f>
        <v/>
      </c>
      <c r="G6" s="8">
        <f>G5+F6</f>
        <v/>
      </c>
      <c r="H6" s="23" t="inlineStr">
        <is>
          <t>✓</t>
        </is>
      </c>
    </row>
    <row r="7">
      <c r="A7" s="4" t="n">
        <v>3</v>
      </c>
      <c r="B7" s="5" t="inlineStr">
        <is>
          <t>MA</t>
        </is>
      </c>
      <c r="C7" s="6" t="inlineStr">
        <is>
          <t>Mastercard</t>
        </is>
      </c>
      <c r="D7" s="24" t="inlineStr">
        <is>
          <t>Software</t>
        </is>
      </c>
      <c r="E7" s="7" t="n">
        <v>464</v>
      </c>
      <c r="F7" s="22">
        <f>E7/E122*100</f>
        <v/>
      </c>
      <c r="G7" s="8">
        <f>G6+F7</f>
        <v/>
      </c>
      <c r="H7" s="23" t="inlineStr">
        <is>
          <t>✓</t>
        </is>
      </c>
    </row>
    <row r="8">
      <c r="A8" s="4" t="n">
        <v>4</v>
      </c>
      <c r="B8" s="5" t="inlineStr">
        <is>
          <t>BABA</t>
        </is>
      </c>
      <c r="C8" s="6" t="inlineStr">
        <is>
          <t>Alibaba Group</t>
        </is>
      </c>
      <c r="D8" s="21" t="inlineStr">
        <is>
          <t>Marketplaces</t>
        </is>
      </c>
      <c r="E8" s="7" t="n">
        <v>305</v>
      </c>
      <c r="F8" s="22">
        <f>E8/E122*100</f>
        <v/>
      </c>
      <c r="G8" s="8">
        <f>G7+F8</f>
        <v/>
      </c>
      <c r="H8" s="23" t="inlineStr">
        <is>
          <t>✓</t>
        </is>
      </c>
    </row>
    <row r="9">
      <c r="A9" s="4" t="n">
        <v>5</v>
      </c>
      <c r="B9" s="5" t="inlineStr">
        <is>
          <t>SHOP</t>
        </is>
      </c>
      <c r="C9" s="6" t="inlineStr">
        <is>
          <t>Shopify</t>
        </is>
      </c>
      <c r="D9" s="21" t="inlineStr">
        <is>
          <t>Marketplaces</t>
        </is>
      </c>
      <c r="E9" s="7" t="n">
        <v>164</v>
      </c>
      <c r="F9" s="22">
        <f>E9/E122*100</f>
        <v/>
      </c>
      <c r="G9" s="8">
        <f>G8+F9</f>
        <v/>
      </c>
      <c r="H9" s="23" t="inlineStr">
        <is>
          <t>✓</t>
        </is>
      </c>
    </row>
    <row r="10">
      <c r="A10" s="4" t="n">
        <v>6</v>
      </c>
      <c r="B10" s="5" t="inlineStr">
        <is>
          <t>PDD</t>
        </is>
      </c>
      <c r="C10" s="6" t="inlineStr">
        <is>
          <t>PDD Holdings</t>
        </is>
      </c>
      <c r="D10" s="21" t="inlineStr">
        <is>
          <t>Marketplaces</t>
        </is>
      </c>
      <c r="E10" s="7" t="n">
        <v>144</v>
      </c>
      <c r="F10" s="22">
        <f>E10/E122*100</f>
        <v/>
      </c>
      <c r="G10" s="8">
        <f>G9+F10</f>
        <v/>
      </c>
      <c r="H10" s="23" t="inlineStr">
        <is>
          <t>✓</t>
        </is>
      </c>
    </row>
    <row r="11">
      <c r="A11" s="4" t="n">
        <v>7</v>
      </c>
      <c r="B11" s="5" t="inlineStr">
        <is>
          <t>BKNG</t>
        </is>
      </c>
      <c r="C11" s="6" t="inlineStr">
        <is>
          <t>Booking Holdings</t>
        </is>
      </c>
      <c r="D11" s="21" t="inlineStr">
        <is>
          <t>Marketplaces</t>
        </is>
      </c>
      <c r="E11" s="7" t="n">
        <v>138</v>
      </c>
      <c r="F11" s="22">
        <f>E11/E122*100</f>
        <v/>
      </c>
      <c r="G11" s="8">
        <f>G10+F11</f>
        <v/>
      </c>
      <c r="H11" s="23" t="inlineStr">
        <is>
          <t>✓</t>
        </is>
      </c>
    </row>
    <row r="12">
      <c r="A12" s="4" t="n">
        <v>8</v>
      </c>
      <c r="B12" s="5" t="inlineStr">
        <is>
          <t>ADBE</t>
        </is>
      </c>
      <c r="C12" s="6" t="inlineStr">
        <is>
          <t>Adobe</t>
        </is>
      </c>
      <c r="D12" s="24" t="inlineStr">
        <is>
          <t>Software</t>
        </is>
      </c>
      <c r="E12" s="7" t="n">
        <v>99</v>
      </c>
      <c r="F12" s="22">
        <f>E12/E122*100</f>
        <v/>
      </c>
      <c r="G12" s="8">
        <f>G11+F12</f>
        <v/>
      </c>
      <c r="H12" s="23" t="inlineStr">
        <is>
          <t>✓</t>
        </is>
      </c>
    </row>
    <row r="13">
      <c r="A13" s="4" t="n">
        <v>9</v>
      </c>
      <c r="B13" s="5" t="inlineStr">
        <is>
          <t>MELI</t>
        </is>
      </c>
      <c r="C13" s="6" t="inlineStr">
        <is>
          <t>MercadoLibre</t>
        </is>
      </c>
      <c r="D13" s="21" t="inlineStr">
        <is>
          <t>Marketplaces</t>
        </is>
      </c>
      <c r="E13" s="7" t="n">
        <v>93</v>
      </c>
      <c r="F13" s="22">
        <f>E13/E122*100</f>
        <v/>
      </c>
      <c r="G13" s="8">
        <f>G12+F13</f>
        <v/>
      </c>
      <c r="H13" s="23" t="inlineStr">
        <is>
          <t>✓</t>
        </is>
      </c>
    </row>
    <row r="14">
      <c r="A14" s="4" t="n">
        <v>10</v>
      </c>
      <c r="B14" s="5" t="inlineStr">
        <is>
          <t>UPS</t>
        </is>
      </c>
      <c r="C14" s="6" t="inlineStr">
        <is>
          <t>United Parcel Service</t>
        </is>
      </c>
      <c r="D14" s="24" t="inlineStr">
        <is>
          <t>Software</t>
        </is>
      </c>
      <c r="E14" s="7" t="n">
        <v>87</v>
      </c>
      <c r="F14" s="22">
        <f>E14/E122*100</f>
        <v/>
      </c>
      <c r="G14" s="8">
        <f>G13+F14</f>
        <v/>
      </c>
      <c r="H14" s="23" t="inlineStr">
        <is>
          <t>✓</t>
        </is>
      </c>
    </row>
    <row r="15">
      <c r="A15" s="4" t="n">
        <v>11</v>
      </c>
      <c r="B15" s="5" t="inlineStr">
        <is>
          <t>FDX</t>
        </is>
      </c>
      <c r="C15" s="6" t="inlineStr">
        <is>
          <t>FedEx</t>
        </is>
      </c>
      <c r="D15" s="24" t="inlineStr">
        <is>
          <t>Software</t>
        </is>
      </c>
      <c r="E15" s="7" t="n">
        <v>86</v>
      </c>
      <c r="F15" s="22">
        <f>E15/E122*100</f>
        <v/>
      </c>
      <c r="G15" s="8">
        <f>G14+F15</f>
        <v/>
      </c>
      <c r="H15" s="23" t="inlineStr">
        <is>
          <t>✓</t>
        </is>
      </c>
    </row>
    <row r="16">
      <c r="A16" s="4" t="n">
        <v>12</v>
      </c>
      <c r="B16" s="5" t="inlineStr">
        <is>
          <t>DASH</t>
        </is>
      </c>
      <c r="C16" s="6" t="inlineStr">
        <is>
          <t>DoorDash</t>
        </is>
      </c>
      <c r="D16" s="21" t="inlineStr">
        <is>
          <t>Marketplaces</t>
        </is>
      </c>
      <c r="E16" s="7" t="n">
        <v>68</v>
      </c>
      <c r="F16" s="22">
        <f>E16/E122*100</f>
        <v/>
      </c>
      <c r="G16" s="8">
        <f>G15+F16</f>
        <v/>
      </c>
      <c r="H16" s="23" t="inlineStr">
        <is>
          <t>✓</t>
        </is>
      </c>
    </row>
    <row r="17">
      <c r="A17" s="4" t="n">
        <v>13</v>
      </c>
      <c r="B17" s="5" t="inlineStr">
        <is>
          <t>NET</t>
        </is>
      </c>
      <c r="C17" s="6" t="inlineStr">
        <is>
          <t>Cloudflare</t>
        </is>
      </c>
      <c r="D17" s="24" t="inlineStr">
        <is>
          <t>Software</t>
        </is>
      </c>
      <c r="E17" s="7" t="n">
        <v>66</v>
      </c>
      <c r="F17" s="22">
        <f>E17/E122*100</f>
        <v/>
      </c>
      <c r="G17" s="8">
        <f>G16+F17</f>
        <v/>
      </c>
      <c r="H17" s="23" t="inlineStr">
        <is>
          <t>✓</t>
        </is>
      </c>
    </row>
    <row r="18">
      <c r="A18" s="4" t="n">
        <v>14</v>
      </c>
      <c r="B18" s="5" t="inlineStr">
        <is>
          <t>NKE</t>
        </is>
      </c>
      <c r="C18" s="6" t="inlineStr">
        <is>
          <t>Nike Inc.</t>
        </is>
      </c>
      <c r="D18" s="25" t="inlineStr">
        <is>
          <t>Brands</t>
        </is>
      </c>
      <c r="E18" s="7" t="n">
        <v>65</v>
      </c>
      <c r="F18" s="22">
        <f>E18/E122*100</f>
        <v/>
      </c>
      <c r="G18" s="8">
        <f>G17+F18</f>
        <v/>
      </c>
      <c r="H18" s="23" t="inlineStr">
        <is>
          <t>✓</t>
        </is>
      </c>
    </row>
    <row r="19">
      <c r="A19" s="4" t="n">
        <v>15</v>
      </c>
      <c r="B19" s="5" t="inlineStr">
        <is>
          <t>CVNA</t>
        </is>
      </c>
      <c r="C19" s="6" t="inlineStr">
        <is>
          <t>Carvana</t>
        </is>
      </c>
      <c r="D19" s="21" t="inlineStr">
        <is>
          <t>Marketplaces</t>
        </is>
      </c>
      <c r="E19" s="7" t="n">
        <v>53</v>
      </c>
      <c r="F19" s="22">
        <f>E19/E122*100</f>
        <v/>
      </c>
      <c r="G19" s="8">
        <f>G18+F19</f>
        <v/>
      </c>
      <c r="H19" s="23" t="inlineStr">
        <is>
          <t>✓</t>
        </is>
      </c>
    </row>
    <row r="20">
      <c r="A20" s="4" t="n">
        <v>16</v>
      </c>
      <c r="B20" s="5" t="inlineStr">
        <is>
          <t>SE</t>
        </is>
      </c>
      <c r="C20" s="6" t="inlineStr">
        <is>
          <t>Sea Limited</t>
        </is>
      </c>
      <c r="D20" s="21" t="inlineStr">
        <is>
          <t>Marketplaces</t>
        </is>
      </c>
      <c r="E20" s="7" t="n">
        <v>51</v>
      </c>
      <c r="F20" s="22">
        <f>E20/E122*100</f>
        <v/>
      </c>
      <c r="G20" s="8">
        <f>G19+F20</f>
        <v/>
      </c>
      <c r="H20" s="23" t="inlineStr">
        <is>
          <t>✓</t>
        </is>
      </c>
    </row>
    <row r="21">
      <c r="A21" s="4" t="n">
        <v>17</v>
      </c>
      <c r="B21" s="5" t="inlineStr">
        <is>
          <t>PYPL</t>
        </is>
      </c>
      <c r="C21" s="6" t="inlineStr">
        <is>
          <t>PayPal</t>
        </is>
      </c>
      <c r="D21" s="24" t="inlineStr">
        <is>
          <t>Software</t>
        </is>
      </c>
      <c r="E21" s="7" t="n">
        <v>45</v>
      </c>
      <c r="F21" s="22">
        <f>E21/E122*100</f>
        <v/>
      </c>
      <c r="G21" s="8">
        <f>G20+F21</f>
        <v/>
      </c>
      <c r="H21" s="23" t="inlineStr">
        <is>
          <t>✓</t>
        </is>
      </c>
    </row>
    <row r="22">
      <c r="A22" s="4" t="n">
        <v>18</v>
      </c>
      <c r="B22" s="5" t="inlineStr">
        <is>
          <t>EBAY</t>
        </is>
      </c>
      <c r="C22" s="6" t="inlineStr">
        <is>
          <t>eBay</t>
        </is>
      </c>
      <c r="D22" s="21" t="inlineStr">
        <is>
          <t>Marketplaces</t>
        </is>
      </c>
      <c r="E22" s="7" t="n">
        <v>43</v>
      </c>
      <c r="F22" s="22">
        <f>E22/E122*100</f>
        <v/>
      </c>
      <c r="G22" s="8">
        <f>G21+F22</f>
        <v/>
      </c>
      <c r="H22" s="23" t="inlineStr">
        <is>
          <t>✓</t>
        </is>
      </c>
    </row>
    <row r="23">
      <c r="A23" s="4" t="n">
        <v>19</v>
      </c>
      <c r="B23" s="5" t="inlineStr">
        <is>
          <t>XYZ</t>
        </is>
      </c>
      <c r="C23" s="6" t="inlineStr">
        <is>
          <t>Block (Square)</t>
        </is>
      </c>
      <c r="D23" s="24" t="inlineStr">
        <is>
          <t>Software</t>
        </is>
      </c>
      <c r="E23" s="7" t="n">
        <v>41</v>
      </c>
      <c r="F23" s="22">
        <f>E23/E122*100</f>
        <v/>
      </c>
      <c r="G23" s="8">
        <f>G22+F23</f>
        <v/>
      </c>
      <c r="H23" s="23" t="inlineStr">
        <is>
          <t>✓</t>
        </is>
      </c>
    </row>
    <row r="24">
      <c r="A24" s="4" t="n">
        <v>20</v>
      </c>
      <c r="B24" s="5" t="inlineStr">
        <is>
          <t>JD</t>
        </is>
      </c>
      <c r="C24" s="6" t="inlineStr">
        <is>
          <t>JD.com</t>
        </is>
      </c>
      <c r="D24" s="21" t="inlineStr">
        <is>
          <t>Marketplaces</t>
        </is>
      </c>
      <c r="E24" s="7" t="n">
        <v>40</v>
      </c>
      <c r="F24" s="22">
        <f>E24/E122*100</f>
        <v/>
      </c>
      <c r="G24" s="8">
        <f>G23+F24</f>
        <v/>
      </c>
      <c r="H24" s="23" t="inlineStr">
        <is>
          <t>✓</t>
        </is>
      </c>
    </row>
    <row r="25">
      <c r="A25" s="4" t="n">
        <v>21</v>
      </c>
      <c r="B25" s="5" t="inlineStr">
        <is>
          <t>DDOG</t>
        </is>
      </c>
      <c r="C25" s="6" t="inlineStr">
        <is>
          <t>Datadog</t>
        </is>
      </c>
      <c r="D25" s="24" t="inlineStr">
        <is>
          <t>Software</t>
        </is>
      </c>
      <c r="E25" s="7" t="n">
        <v>38</v>
      </c>
      <c r="F25" s="22">
        <f>E25/E122*100</f>
        <v/>
      </c>
      <c r="G25" s="8">
        <f>G24+F25</f>
        <v/>
      </c>
      <c r="H25" s="23" t="inlineStr">
        <is>
          <t>✓</t>
        </is>
      </c>
    </row>
    <row r="26">
      <c r="A26" s="4" t="n">
        <v>22</v>
      </c>
      <c r="B26" s="5" t="inlineStr">
        <is>
          <t>CPNG</t>
        </is>
      </c>
      <c r="C26" s="6" t="inlineStr">
        <is>
          <t>Coupang</t>
        </is>
      </c>
      <c r="D26" s="21" t="inlineStr">
        <is>
          <t>Marketplaces</t>
        </is>
      </c>
      <c r="E26" s="7" t="n">
        <v>36</v>
      </c>
      <c r="F26" s="22">
        <f>E26/E122*100</f>
        <v/>
      </c>
      <c r="G26" s="8">
        <f>G25+F26</f>
        <v/>
      </c>
      <c r="H26" s="23" t="inlineStr">
        <is>
          <t>✓</t>
        </is>
      </c>
    </row>
    <row r="27">
      <c r="A27" s="4" t="n">
        <v>23</v>
      </c>
      <c r="B27" s="5" t="inlineStr">
        <is>
          <t>ADYEN</t>
        </is>
      </c>
      <c r="C27" s="6" t="inlineStr">
        <is>
          <t>Adyen</t>
        </is>
      </c>
      <c r="D27" s="24" t="inlineStr">
        <is>
          <t>Software</t>
        </is>
      </c>
      <c r="E27" s="7" t="n">
        <v>36</v>
      </c>
      <c r="F27" s="22">
        <f>E27/E122*100</f>
        <v/>
      </c>
      <c r="G27" s="8">
        <f>G26+F27</f>
        <v/>
      </c>
      <c r="H27" s="23" t="inlineStr">
        <is>
          <t>✓</t>
        </is>
      </c>
    </row>
    <row r="28">
      <c r="A28" s="4" t="n">
        <v>24</v>
      </c>
      <c r="B28" s="5" t="inlineStr">
        <is>
          <t>FISV</t>
        </is>
      </c>
      <c r="C28" s="6" t="inlineStr">
        <is>
          <t>Fiserv</t>
        </is>
      </c>
      <c r="D28" s="24" t="inlineStr">
        <is>
          <t>Software</t>
        </is>
      </c>
      <c r="E28" s="7" t="n">
        <v>33</v>
      </c>
      <c r="F28" s="22">
        <f>E28/E122*100</f>
        <v/>
      </c>
      <c r="G28" s="8">
        <f>G27+F28</f>
        <v/>
      </c>
      <c r="H28" s="23" t="inlineStr">
        <is>
          <t>✓</t>
        </is>
      </c>
    </row>
    <row r="29">
      <c r="A29" s="4" t="n">
        <v>25</v>
      </c>
      <c r="B29" s="5" t="inlineStr">
        <is>
          <t>TPR</t>
        </is>
      </c>
      <c r="C29" s="6" t="inlineStr">
        <is>
          <t>Tapestry Inc.</t>
        </is>
      </c>
      <c r="D29" s="25" t="inlineStr">
        <is>
          <t>Brands</t>
        </is>
      </c>
      <c r="E29" s="7" t="n">
        <v>30.5</v>
      </c>
      <c r="F29" s="22">
        <f>E29/E122*100</f>
        <v/>
      </c>
      <c r="G29" s="8">
        <f>G28+F29</f>
        <v/>
      </c>
      <c r="H29" s="23" t="inlineStr">
        <is>
          <t>✓</t>
        </is>
      </c>
    </row>
    <row r="30">
      <c r="A30" s="4" t="n">
        <v>26</v>
      </c>
      <c r="B30" s="5" t="inlineStr">
        <is>
          <t>FIS</t>
        </is>
      </c>
      <c r="C30" s="6" t="inlineStr">
        <is>
          <t>Fidelity Natl Info Svcs</t>
        </is>
      </c>
      <c r="D30" s="24" t="inlineStr">
        <is>
          <t>Software</t>
        </is>
      </c>
      <c r="E30" s="7" t="n">
        <v>25</v>
      </c>
      <c r="F30" s="22">
        <f>E30/E122*100</f>
        <v/>
      </c>
      <c r="G30" s="8">
        <f>G29+F30</f>
        <v/>
      </c>
      <c r="H30" s="23" t="inlineStr">
        <is>
          <t>✓</t>
        </is>
      </c>
    </row>
    <row r="31">
      <c r="A31" s="4" t="n">
        <v>27</v>
      </c>
      <c r="B31" s="5" t="inlineStr">
        <is>
          <t>XPO</t>
        </is>
      </c>
      <c r="C31" s="6" t="inlineStr">
        <is>
          <t>XPO Logistics</t>
        </is>
      </c>
      <c r="D31" s="24" t="inlineStr">
        <is>
          <t>Software</t>
        </is>
      </c>
      <c r="E31" s="7" t="n">
        <v>25</v>
      </c>
      <c r="F31" s="22">
        <f>E31/E122*100</f>
        <v/>
      </c>
      <c r="G31" s="8">
        <f>G30+F31</f>
        <v/>
      </c>
      <c r="H31" s="23" t="inlineStr">
        <is>
          <t>✓</t>
        </is>
      </c>
    </row>
    <row r="32">
      <c r="A32" s="4" t="n">
        <v>28</v>
      </c>
      <c r="B32" s="5" t="inlineStr">
        <is>
          <t>AS</t>
        </is>
      </c>
      <c r="C32" s="6" t="inlineStr">
        <is>
          <t>Amer Sports Inc.</t>
        </is>
      </c>
      <c r="D32" s="25" t="inlineStr">
        <is>
          <t>Brands</t>
        </is>
      </c>
      <c r="E32" s="7" t="n">
        <v>20.5</v>
      </c>
      <c r="F32" s="22">
        <f>E32/E122*100</f>
        <v/>
      </c>
      <c r="G32" s="8">
        <f>G31+F32</f>
        <v/>
      </c>
      <c r="H32" s="23" t="inlineStr">
        <is>
          <t>✓</t>
        </is>
      </c>
    </row>
    <row r="33">
      <c r="A33" s="4" t="n">
        <v>29</v>
      </c>
      <c r="B33" s="5" t="inlineStr">
        <is>
          <t>RL</t>
        </is>
      </c>
      <c r="C33" s="6" t="inlineStr">
        <is>
          <t>Ralph Lauren Corp.</t>
        </is>
      </c>
      <c r="D33" s="25" t="inlineStr">
        <is>
          <t>Brands</t>
        </is>
      </c>
      <c r="E33" s="7" t="n">
        <v>20.5</v>
      </c>
      <c r="F33" s="22">
        <f>E33/E122*100</f>
        <v/>
      </c>
      <c r="G33" s="8">
        <f>G32+F33</f>
        <v/>
      </c>
      <c r="H33" s="23" t="inlineStr">
        <is>
          <t>✓</t>
        </is>
      </c>
    </row>
    <row r="34">
      <c r="A34" s="4" t="n">
        <v>30</v>
      </c>
      <c r="B34" s="5" t="inlineStr">
        <is>
          <t>AFRM</t>
        </is>
      </c>
      <c r="C34" s="6" t="inlineStr">
        <is>
          <t>Affirm</t>
        </is>
      </c>
      <c r="D34" s="24" t="inlineStr">
        <is>
          <t>Software</t>
        </is>
      </c>
      <c r="E34" s="7" t="n">
        <v>20</v>
      </c>
      <c r="F34" s="22">
        <f>E34/E122*100</f>
        <v/>
      </c>
      <c r="G34" s="8">
        <f>G33+F34</f>
        <v/>
      </c>
      <c r="H34" s="23" t="inlineStr">
        <is>
          <t>✓</t>
        </is>
      </c>
    </row>
    <row r="35">
      <c r="A35" s="4" t="n">
        <v>31</v>
      </c>
      <c r="B35" s="5" t="inlineStr">
        <is>
          <t>TWLO</t>
        </is>
      </c>
      <c r="C35" s="6" t="inlineStr">
        <is>
          <t>Twilio</t>
        </is>
      </c>
      <c r="D35" s="24" t="inlineStr">
        <is>
          <t>Software</t>
        </is>
      </c>
      <c r="E35" s="7" t="n">
        <v>20</v>
      </c>
      <c r="F35" s="22">
        <f>E35/E122*100</f>
        <v/>
      </c>
      <c r="G35" s="8">
        <f>G34+F35</f>
        <v/>
      </c>
      <c r="H35" s="23" t="inlineStr">
        <is>
          <t>✓</t>
        </is>
      </c>
    </row>
    <row r="36">
      <c r="A36" s="4" t="n">
        <v>32</v>
      </c>
      <c r="B36" s="5" t="inlineStr">
        <is>
          <t>GPN</t>
        </is>
      </c>
      <c r="C36" s="6" t="inlineStr">
        <is>
          <t>Global Payments</t>
        </is>
      </c>
      <c r="D36" s="24" t="inlineStr">
        <is>
          <t>Software</t>
        </is>
      </c>
      <c r="E36" s="7" t="n">
        <v>20</v>
      </c>
      <c r="F36" s="22">
        <f>E36/E122*100</f>
        <v/>
      </c>
      <c r="G36" s="8">
        <f>G35+F36</f>
        <v/>
      </c>
      <c r="H36" s="23" t="inlineStr">
        <is>
          <t>✓</t>
        </is>
      </c>
    </row>
    <row r="37">
      <c r="A37" s="4" t="n">
        <v>33</v>
      </c>
      <c r="B37" s="5" t="inlineStr">
        <is>
          <t>LULU</t>
        </is>
      </c>
      <c r="C37" s="6" t="inlineStr">
        <is>
          <t>Lululemon Athletica</t>
        </is>
      </c>
      <c r="D37" s="25" t="inlineStr">
        <is>
          <t>Brands</t>
        </is>
      </c>
      <c r="E37" s="7" t="n">
        <v>19.5</v>
      </c>
      <c r="F37" s="22">
        <f>E37/E122*100</f>
        <v/>
      </c>
      <c r="G37" s="8">
        <f>G36+F37</f>
        <v/>
      </c>
      <c r="H37" s="23" t="inlineStr">
        <is>
          <t>✓</t>
        </is>
      </c>
    </row>
    <row r="38">
      <c r="A38" s="4" t="n">
        <v>34</v>
      </c>
      <c r="B38" s="5" t="inlineStr">
        <is>
          <t>TOST</t>
        </is>
      </c>
      <c r="C38" s="6" t="inlineStr">
        <is>
          <t>Toast</t>
        </is>
      </c>
      <c r="D38" s="24" t="inlineStr">
        <is>
          <t>Software</t>
        </is>
      </c>
      <c r="E38" s="7" t="n">
        <v>17</v>
      </c>
      <c r="F38" s="22">
        <f>E38/E122*100</f>
        <v/>
      </c>
      <c r="G38" s="8">
        <f>G37+F38</f>
        <v/>
      </c>
      <c r="H38" s="23" t="inlineStr">
        <is>
          <t>✓</t>
        </is>
      </c>
    </row>
    <row r="39">
      <c r="A39" s="4" t="n">
        <v>35</v>
      </c>
      <c r="B39" s="5" t="inlineStr">
        <is>
          <t>DECK</t>
        </is>
      </c>
      <c r="C39" s="6" t="inlineStr">
        <is>
          <t>Deckers Outdoor Corp.</t>
        </is>
      </c>
      <c r="D39" s="25" t="inlineStr">
        <is>
          <t>Brands</t>
        </is>
      </c>
      <c r="E39" s="7" t="n">
        <v>16</v>
      </c>
      <c r="F39" s="22">
        <f>E39/E122*100</f>
        <v/>
      </c>
      <c r="G39" s="8">
        <f>G38+F39</f>
        <v/>
      </c>
      <c r="H39" s="23" t="inlineStr">
        <is>
          <t>✓</t>
        </is>
      </c>
    </row>
    <row r="40">
      <c r="A40" s="4" t="n">
        <v>36</v>
      </c>
      <c r="B40" s="5" t="inlineStr">
        <is>
          <t>GRAB</t>
        </is>
      </c>
      <c r="C40" s="6" t="inlineStr">
        <is>
          <t>Grab Holdings</t>
        </is>
      </c>
      <c r="D40" s="21" t="inlineStr">
        <is>
          <t>Marketplaces</t>
        </is>
      </c>
      <c r="E40" s="7" t="n">
        <v>15</v>
      </c>
      <c r="F40" s="22">
        <f>E40/E122*100</f>
        <v/>
      </c>
      <c r="G40" s="8">
        <f>G39+F40</f>
        <v/>
      </c>
      <c r="H40" s="23" t="inlineStr">
        <is>
          <t>✓</t>
        </is>
      </c>
    </row>
    <row r="41">
      <c r="A41" s="4" t="n">
        <v>37</v>
      </c>
      <c r="B41" s="5" t="inlineStr">
        <is>
          <t>AKAM</t>
        </is>
      </c>
      <c r="C41" s="6" t="inlineStr">
        <is>
          <t>Akamai</t>
        </is>
      </c>
      <c r="D41" s="24" t="inlineStr">
        <is>
          <t>Software</t>
        </is>
      </c>
      <c r="E41" s="7" t="n">
        <v>13</v>
      </c>
      <c r="F41" s="22">
        <f>E41/E122*100</f>
        <v/>
      </c>
      <c r="G41" s="8">
        <f>G40+F41</f>
        <v/>
      </c>
      <c r="H41" s="23" t="inlineStr">
        <is>
          <t>✓</t>
        </is>
      </c>
    </row>
    <row r="42">
      <c r="A42" s="4" t="n">
        <v>38</v>
      </c>
      <c r="B42" s="5" t="inlineStr">
        <is>
          <t>PINS</t>
        </is>
      </c>
      <c r="C42" s="6" t="inlineStr">
        <is>
          <t>Pinterest</t>
        </is>
      </c>
      <c r="D42" s="24" t="inlineStr">
        <is>
          <t>Software</t>
        </is>
      </c>
      <c r="E42" s="7" t="n">
        <v>13</v>
      </c>
      <c r="F42" s="22">
        <f>E42/E122*100</f>
        <v/>
      </c>
      <c r="G42" s="8">
        <f>G41+F42</f>
        <v/>
      </c>
      <c r="H42" s="23" t="inlineStr">
        <is>
          <t>✓</t>
        </is>
      </c>
    </row>
    <row r="43">
      <c r="A43" s="4" t="n">
        <v>39</v>
      </c>
      <c r="B43" s="5" t="inlineStr">
        <is>
          <t>RKUNY</t>
        </is>
      </c>
      <c r="C43" s="6" t="inlineStr">
        <is>
          <t>Rakuten Group</t>
        </is>
      </c>
      <c r="D43" s="21" t="inlineStr">
        <is>
          <t>Marketplaces</t>
        </is>
      </c>
      <c r="E43" s="7" t="n">
        <v>12</v>
      </c>
      <c r="F43" s="22">
        <f>E43/E122*100</f>
        <v/>
      </c>
      <c r="G43" s="8">
        <f>G42+F43</f>
        <v/>
      </c>
      <c r="H43" s="23" t="inlineStr">
        <is>
          <t>✓</t>
        </is>
      </c>
    </row>
    <row r="44">
      <c r="A44" s="4" t="n">
        <v>40</v>
      </c>
      <c r="B44" s="5" t="inlineStr">
        <is>
          <t>ONON</t>
        </is>
      </c>
      <c r="C44" s="6" t="inlineStr">
        <is>
          <t>On Holding AG</t>
        </is>
      </c>
      <c r="D44" s="25" t="inlineStr">
        <is>
          <t>Brands</t>
        </is>
      </c>
      <c r="E44" s="7" t="n">
        <v>11.5</v>
      </c>
      <c r="F44" s="22">
        <f>E44/E122*100</f>
        <v/>
      </c>
      <c r="G44" s="8">
        <f>G43+F44</f>
        <v/>
      </c>
      <c r="H44" s="23" t="inlineStr">
        <is>
          <t>✓</t>
        </is>
      </c>
    </row>
    <row r="45">
      <c r="A45" s="4" t="n">
        <v>41</v>
      </c>
      <c r="B45" s="5" t="inlineStr">
        <is>
          <t>HUBS</t>
        </is>
      </c>
      <c r="C45" s="6" t="inlineStr">
        <is>
          <t>HubSpot</t>
        </is>
      </c>
      <c r="D45" s="24" t="inlineStr">
        <is>
          <t>Software</t>
        </is>
      </c>
      <c r="E45" s="7" t="n">
        <v>11</v>
      </c>
      <c r="F45" s="22">
        <f>E45/E122*100</f>
        <v/>
      </c>
      <c r="G45" s="8">
        <f>G44+F45</f>
        <v/>
      </c>
      <c r="H45" s="23" t="inlineStr">
        <is>
          <t>✓</t>
        </is>
      </c>
    </row>
    <row r="46">
      <c r="A46" s="4" t="n">
        <v>42</v>
      </c>
      <c r="B46" s="5" t="inlineStr">
        <is>
          <t>GDDY</t>
        </is>
      </c>
      <c r="C46" s="6" t="inlineStr">
        <is>
          <t>GoDaddy</t>
        </is>
      </c>
      <c r="D46" s="24" t="inlineStr">
        <is>
          <t>Software</t>
        </is>
      </c>
      <c r="E46" s="7" t="n">
        <v>11</v>
      </c>
      <c r="F46" s="22">
        <f>E46/E122*100</f>
        <v/>
      </c>
      <c r="G46" s="8">
        <f>G45+F46</f>
        <v/>
      </c>
      <c r="H46" s="23" t="inlineStr">
        <is>
          <t>✓</t>
        </is>
      </c>
    </row>
    <row r="47">
      <c r="A47" s="4" t="n">
        <v>43</v>
      </c>
      <c r="B47" s="5" t="inlineStr">
        <is>
          <t>TTD</t>
        </is>
      </c>
      <c r="C47" s="6" t="inlineStr">
        <is>
          <t>The Trade Desk</t>
        </is>
      </c>
      <c r="D47" s="24" t="inlineStr">
        <is>
          <t>Software</t>
        </is>
      </c>
      <c r="E47" s="7" t="n">
        <v>11</v>
      </c>
      <c r="F47" s="22">
        <f>E47/E122*100</f>
        <v/>
      </c>
      <c r="G47" s="8">
        <f>G46+F47</f>
        <v/>
      </c>
      <c r="H47" s="23" t="inlineStr">
        <is>
          <t>✓</t>
        </is>
      </c>
    </row>
    <row r="48">
      <c r="A48" s="4" t="n">
        <v>44</v>
      </c>
      <c r="B48" s="5" t="inlineStr">
        <is>
          <t>CHWY</t>
        </is>
      </c>
      <c r="C48" s="6" t="inlineStr">
        <is>
          <t>Chewy Inc.</t>
        </is>
      </c>
      <c r="D48" s="25" t="inlineStr">
        <is>
          <t>Brands</t>
        </is>
      </c>
      <c r="E48" s="7" t="n">
        <v>10.5</v>
      </c>
      <c r="F48" s="22">
        <f>E48/E122*100</f>
        <v/>
      </c>
      <c r="G48" s="8">
        <f>G47+F48</f>
        <v/>
      </c>
      <c r="H48" s="23" t="inlineStr">
        <is>
          <t>✓</t>
        </is>
      </c>
    </row>
    <row r="49">
      <c r="A49" s="4" t="n">
        <v>45</v>
      </c>
      <c r="B49" s="5" t="inlineStr">
        <is>
          <t>CART</t>
        </is>
      </c>
      <c r="C49" s="6" t="inlineStr">
        <is>
          <t>Maplebear (Instacart)</t>
        </is>
      </c>
      <c r="D49" s="21" t="inlineStr">
        <is>
          <t>Marketplaces</t>
        </is>
      </c>
      <c r="E49" s="7" t="n">
        <v>10</v>
      </c>
      <c r="F49" s="22">
        <f>E49/E122*100</f>
        <v/>
      </c>
      <c r="G49" s="8">
        <f>G48+F49</f>
        <v/>
      </c>
      <c r="H49" s="23" t="inlineStr">
        <is>
          <t>✓</t>
        </is>
      </c>
    </row>
    <row r="50">
      <c r="A50" s="4" t="n">
        <v>46</v>
      </c>
      <c r="B50" s="5" t="inlineStr">
        <is>
          <t>SNAP</t>
        </is>
      </c>
      <c r="C50" s="6" t="inlineStr">
        <is>
          <t>Snap</t>
        </is>
      </c>
      <c r="D50" s="24" t="inlineStr">
        <is>
          <t>Software</t>
        </is>
      </c>
      <c r="E50" s="7" t="n">
        <v>10</v>
      </c>
      <c r="F50" s="22">
        <f>E50/E122*100</f>
        <v/>
      </c>
      <c r="G50" s="8">
        <f>G49+F50</f>
        <v/>
      </c>
      <c r="H50" s="23" t="inlineStr">
        <is>
          <t>✓</t>
        </is>
      </c>
    </row>
    <row r="51">
      <c r="A51" s="4" t="n">
        <v>47</v>
      </c>
      <c r="B51" s="5" t="inlineStr">
        <is>
          <t>CELH</t>
        </is>
      </c>
      <c r="C51" s="6" t="inlineStr">
        <is>
          <t>Celsius Holdings</t>
        </is>
      </c>
      <c r="D51" s="25" t="inlineStr">
        <is>
          <t>Brands</t>
        </is>
      </c>
      <c r="E51" s="7" t="n">
        <v>9.5</v>
      </c>
      <c r="F51" s="22">
        <f>E51/E122*100</f>
        <v/>
      </c>
      <c r="G51" s="8">
        <f>G50+F51</f>
        <v/>
      </c>
      <c r="H51" s="23" t="inlineStr">
        <is>
          <t>✓</t>
        </is>
      </c>
    </row>
    <row r="52">
      <c r="A52" s="4" t="n">
        <v>48</v>
      </c>
      <c r="B52" s="5" t="inlineStr">
        <is>
          <t>W</t>
        </is>
      </c>
      <c r="C52" s="6" t="inlineStr">
        <is>
          <t>Wayfair</t>
        </is>
      </c>
      <c r="D52" s="21" t="inlineStr">
        <is>
          <t>Marketplaces</t>
        </is>
      </c>
      <c r="E52" s="7" t="n">
        <v>9.300000000000001</v>
      </c>
      <c r="F52" s="22">
        <f>E52/E122*100</f>
        <v/>
      </c>
      <c r="G52" s="8">
        <f>G51+F52</f>
        <v/>
      </c>
      <c r="H52" s="23" t="inlineStr">
        <is>
          <t>✓</t>
        </is>
      </c>
    </row>
    <row r="53">
      <c r="A53" s="4" t="n">
        <v>49</v>
      </c>
      <c r="B53" s="5" t="inlineStr">
        <is>
          <t>BROS</t>
        </is>
      </c>
      <c r="C53" s="6" t="inlineStr">
        <is>
          <t>Dutch Bros Inc.</t>
        </is>
      </c>
      <c r="D53" s="25" t="inlineStr">
        <is>
          <t>Brands</t>
        </is>
      </c>
      <c r="E53" s="7" t="n">
        <v>8.9</v>
      </c>
      <c r="F53" s="22">
        <f>E53/E122*100</f>
        <v/>
      </c>
      <c r="G53" s="8">
        <f>G52+F53</f>
        <v/>
      </c>
      <c r="H53" s="23" t="inlineStr">
        <is>
          <t>✓</t>
        </is>
      </c>
    </row>
    <row r="54">
      <c r="A54" s="4" t="n">
        <v>50</v>
      </c>
      <c r="B54" s="5" t="inlineStr">
        <is>
          <t>MANH</t>
        </is>
      </c>
      <c r="C54" s="6" t="inlineStr">
        <is>
          <t>Manhattan Associates</t>
        </is>
      </c>
      <c r="D54" s="24" t="inlineStr">
        <is>
          <t>Software</t>
        </is>
      </c>
      <c r="E54" s="7" t="n">
        <v>8</v>
      </c>
      <c r="F54" s="22">
        <f>E54/E122*100</f>
        <v/>
      </c>
      <c r="G54" s="8">
        <f>G53+F54</f>
        <v/>
      </c>
      <c r="H54" s="23" t="inlineStr">
        <is>
          <t>✓</t>
        </is>
      </c>
    </row>
    <row r="55">
      <c r="A55" s="4" t="n">
        <v>51</v>
      </c>
      <c r="B55" s="5" t="inlineStr">
        <is>
          <t>BIRK</t>
        </is>
      </c>
      <c r="C55" s="6" t="inlineStr">
        <is>
          <t>Birkenstock Holding</t>
        </is>
      </c>
      <c r="D55" s="25" t="inlineStr">
        <is>
          <t>Brands</t>
        </is>
      </c>
      <c r="E55" s="7" t="n">
        <v>7</v>
      </c>
      <c r="F55" s="22">
        <f>E55/E122*100</f>
        <v/>
      </c>
      <c r="G55" s="8">
        <f>G54+F55</f>
        <v/>
      </c>
      <c r="H55" s="23" t="inlineStr">
        <is>
          <t>✓</t>
        </is>
      </c>
    </row>
    <row r="56">
      <c r="A56" s="4" t="n">
        <v>52</v>
      </c>
      <c r="B56" s="5" t="inlineStr">
        <is>
          <t>VIPS</t>
        </is>
      </c>
      <c r="C56" s="6" t="inlineStr">
        <is>
          <t>Vipshop</t>
        </is>
      </c>
      <c r="D56" s="21" t="inlineStr">
        <is>
          <t>Marketplaces</t>
        </is>
      </c>
      <c r="E56" s="7" t="n">
        <v>7</v>
      </c>
      <c r="F56" s="22">
        <f>E56/E122*100</f>
        <v/>
      </c>
      <c r="G56" s="8">
        <f>G55+F56</f>
        <v/>
      </c>
      <c r="H56" s="23" t="inlineStr">
        <is>
          <t>✓</t>
        </is>
      </c>
    </row>
    <row r="57">
      <c r="A57" s="4" t="n">
        <v>53</v>
      </c>
      <c r="B57" s="5" t="inlineStr">
        <is>
          <t>ZAL</t>
        </is>
      </c>
      <c r="C57" s="6" t="inlineStr">
        <is>
          <t>Zalando</t>
        </is>
      </c>
      <c r="D57" s="21" t="inlineStr">
        <is>
          <t>Marketplaces</t>
        </is>
      </c>
      <c r="E57" s="7" t="n">
        <v>6</v>
      </c>
      <c r="F57" s="22">
        <f>E57/E122*100</f>
        <v/>
      </c>
      <c r="G57" s="8">
        <f>G56+F57</f>
        <v/>
      </c>
      <c r="H57" s="23" t="inlineStr">
        <is>
          <t>✓</t>
        </is>
      </c>
    </row>
    <row r="58">
      <c r="A58" s="4" t="n">
        <v>54</v>
      </c>
      <c r="B58" s="5" t="inlineStr">
        <is>
          <t>GXO</t>
        </is>
      </c>
      <c r="C58" s="6" t="inlineStr">
        <is>
          <t>GXO Logistics</t>
        </is>
      </c>
      <c r="D58" s="24" t="inlineStr">
        <is>
          <t>Software</t>
        </is>
      </c>
      <c r="E58" s="7" t="n">
        <v>6</v>
      </c>
      <c r="F58" s="22">
        <f>E58/E122*100</f>
        <v/>
      </c>
      <c r="G58" s="8">
        <f>G57+F58</f>
        <v/>
      </c>
      <c r="H58" s="23" t="inlineStr">
        <is>
          <t>✓</t>
        </is>
      </c>
    </row>
    <row r="59">
      <c r="A59" s="4" t="n">
        <v>55</v>
      </c>
      <c r="B59" s="5" t="inlineStr">
        <is>
          <t>DSGX</t>
        </is>
      </c>
      <c r="C59" s="6" t="inlineStr">
        <is>
          <t>Descartes Systems</t>
        </is>
      </c>
      <c r="D59" s="24" t="inlineStr">
        <is>
          <t>Software</t>
        </is>
      </c>
      <c r="E59" s="7" t="n">
        <v>6</v>
      </c>
      <c r="F59" s="22">
        <f>E59/E122*100</f>
        <v/>
      </c>
      <c r="G59" s="8">
        <f>G58+F59</f>
        <v/>
      </c>
      <c r="H59" s="23" t="inlineStr">
        <is>
          <t>✓</t>
        </is>
      </c>
    </row>
    <row r="60">
      <c r="A60" s="4" t="n">
        <v>56</v>
      </c>
      <c r="B60" s="5" t="inlineStr">
        <is>
          <t>GLBE</t>
        </is>
      </c>
      <c r="C60" s="6" t="inlineStr">
        <is>
          <t>Global-E Online</t>
        </is>
      </c>
      <c r="D60" s="24" t="inlineStr">
        <is>
          <t>Software</t>
        </is>
      </c>
      <c r="E60" s="7" t="n">
        <v>6</v>
      </c>
      <c r="F60" s="22">
        <f>E60/E122*100</f>
        <v/>
      </c>
      <c r="G60" s="8">
        <f>G59+F60</f>
        <v/>
      </c>
      <c r="H60" s="23" t="inlineStr">
        <is>
          <t>✓</t>
        </is>
      </c>
    </row>
    <row r="61">
      <c r="A61" s="4" t="n">
        <v>57</v>
      </c>
      <c r="B61" s="5" t="inlineStr">
        <is>
          <t>KLAR</t>
        </is>
      </c>
      <c r="C61" s="6" t="inlineStr">
        <is>
          <t>Klarna</t>
        </is>
      </c>
      <c r="D61" s="24" t="inlineStr">
        <is>
          <t>Software</t>
        </is>
      </c>
      <c r="E61" s="7" t="n">
        <v>5.6</v>
      </c>
      <c r="F61" s="22">
        <f>E61/E122*100</f>
        <v/>
      </c>
      <c r="G61" s="8">
        <f>G60+F61</f>
        <v/>
      </c>
      <c r="H61" s="23" t="inlineStr">
        <is>
          <t>✓</t>
        </is>
      </c>
    </row>
    <row r="62">
      <c r="A62" s="4" t="n">
        <v>58</v>
      </c>
      <c r="B62" s="5" t="inlineStr">
        <is>
          <t>KVYO</t>
        </is>
      </c>
      <c r="C62" s="6" t="inlineStr">
        <is>
          <t>Klaviyo</t>
        </is>
      </c>
      <c r="D62" s="24" t="inlineStr">
        <is>
          <t>Software</t>
        </is>
      </c>
      <c r="E62" s="7" t="n">
        <v>5.5</v>
      </c>
      <c r="F62" s="22">
        <f>E62/E122*100</f>
        <v/>
      </c>
      <c r="G62" s="8">
        <f>G61+F62</f>
        <v/>
      </c>
      <c r="H62" s="23" t="inlineStr">
        <is>
          <t>✓</t>
        </is>
      </c>
    </row>
    <row r="63">
      <c r="A63" s="4" t="n">
        <v>59</v>
      </c>
      <c r="B63" s="5" t="inlineStr">
        <is>
          <t>ETSY</t>
        </is>
      </c>
      <c r="C63" s="6" t="inlineStr">
        <is>
          <t>Etsy</t>
        </is>
      </c>
      <c r="D63" s="21" t="inlineStr">
        <is>
          <t>Marketplaces</t>
        </is>
      </c>
      <c r="E63" s="7" t="n">
        <v>5</v>
      </c>
      <c r="F63" s="22">
        <f>E63/E122*100</f>
        <v/>
      </c>
      <c r="G63" s="8">
        <f>G62+F63</f>
        <v/>
      </c>
      <c r="H63" s="23" t="inlineStr">
        <is>
          <t>✓</t>
        </is>
      </c>
    </row>
    <row r="64">
      <c r="A64" s="4" t="n">
        <v>60</v>
      </c>
      <c r="B64" s="5" t="inlineStr">
        <is>
          <t>ESTC</t>
        </is>
      </c>
      <c r="C64" s="6" t="inlineStr">
        <is>
          <t>Elastic</t>
        </is>
      </c>
      <c r="D64" s="24" t="inlineStr">
        <is>
          <t>Software</t>
        </is>
      </c>
      <c r="E64" s="7" t="n">
        <v>5</v>
      </c>
      <c r="F64" s="22">
        <f>E64/E122*100</f>
        <v/>
      </c>
      <c r="G64" s="8">
        <f>G63+F64</f>
        <v/>
      </c>
      <c r="H64" s="23" t="inlineStr">
        <is>
          <t>✓</t>
        </is>
      </c>
    </row>
    <row r="65">
      <c r="A65" s="4" t="n">
        <v>61</v>
      </c>
      <c r="B65" s="5" t="inlineStr">
        <is>
          <t>FOUR</t>
        </is>
      </c>
      <c r="C65" s="6" t="inlineStr">
        <is>
          <t>Shift4 Payments</t>
        </is>
      </c>
      <c r="D65" s="24" t="inlineStr">
        <is>
          <t>Software</t>
        </is>
      </c>
      <c r="E65" s="7" t="n">
        <v>4.8</v>
      </c>
      <c r="F65" s="22">
        <f>E65/E122*100</f>
        <v/>
      </c>
      <c r="G65" s="8">
        <f>G64+F65</f>
        <v/>
      </c>
      <c r="H65" s="23" t="inlineStr">
        <is>
          <t>✓</t>
        </is>
      </c>
    </row>
    <row r="66">
      <c r="A66" s="4" t="n">
        <v>62</v>
      </c>
      <c r="B66" s="5" t="inlineStr">
        <is>
          <t>CROX</t>
        </is>
      </c>
      <c r="C66" s="6" t="inlineStr">
        <is>
          <t>Crocs Inc.</t>
        </is>
      </c>
      <c r="D66" s="25" t="inlineStr">
        <is>
          <t>Brands</t>
        </is>
      </c>
      <c r="E66" s="7" t="n">
        <v>4.5</v>
      </c>
      <c r="F66" s="22">
        <f>E66/E122*100</f>
        <v/>
      </c>
      <c r="G66" s="8">
        <f>G65+F66</f>
        <v/>
      </c>
      <c r="H66" s="23" t="inlineStr">
        <is>
          <t>✓</t>
        </is>
      </c>
    </row>
    <row r="67">
      <c r="A67" s="4" t="n">
        <v>63</v>
      </c>
      <c r="B67" s="5" t="inlineStr">
        <is>
          <t>ANF</t>
        </is>
      </c>
      <c r="C67" s="6" t="inlineStr">
        <is>
          <t>Abercrombie &amp; Fitch</t>
        </is>
      </c>
      <c r="D67" s="25" t="inlineStr">
        <is>
          <t>Brands</t>
        </is>
      </c>
      <c r="E67" s="7" t="n">
        <v>4.5</v>
      </c>
      <c r="F67" s="22">
        <f>E67/E122*100</f>
        <v/>
      </c>
      <c r="G67" s="8">
        <f>G66+F67</f>
        <v/>
      </c>
      <c r="H67" s="23" t="inlineStr">
        <is>
          <t>✓</t>
        </is>
      </c>
    </row>
    <row r="68">
      <c r="A68" s="4" t="n">
        <v>64</v>
      </c>
      <c r="B68" s="5" t="inlineStr">
        <is>
          <t>HIMS</t>
        </is>
      </c>
      <c r="C68" s="6" t="inlineStr">
        <is>
          <t>Hims &amp; Hers Health</t>
        </is>
      </c>
      <c r="D68" s="25" t="inlineStr">
        <is>
          <t>Brands</t>
        </is>
      </c>
      <c r="E68" s="7" t="n">
        <v>4.4</v>
      </c>
      <c r="F68" s="22">
        <f>E68/E122*100</f>
        <v/>
      </c>
      <c r="G68" s="8">
        <f>G67+F68</f>
        <v/>
      </c>
      <c r="H68" s="23" t="inlineStr">
        <is>
          <t>✓</t>
        </is>
      </c>
    </row>
    <row r="69">
      <c r="A69" s="4" t="n">
        <v>65</v>
      </c>
      <c r="B69" s="5" t="inlineStr">
        <is>
          <t>ELF</t>
        </is>
      </c>
      <c r="C69" s="6" t="inlineStr">
        <is>
          <t>e.l.f. Beauty Inc.</t>
        </is>
      </c>
      <c r="D69" s="25" t="inlineStr">
        <is>
          <t>Brands</t>
        </is>
      </c>
      <c r="E69" s="7" t="n">
        <v>4.2</v>
      </c>
      <c r="F69" s="22">
        <f>E69/E122*100</f>
        <v/>
      </c>
      <c r="G69" s="8">
        <f>G68+F69</f>
        <v/>
      </c>
      <c r="H69" s="23" t="inlineStr">
        <is>
          <t>✓</t>
        </is>
      </c>
    </row>
    <row r="70">
      <c r="A70" s="4" t="n">
        <v>66</v>
      </c>
      <c r="B70" s="5" t="inlineStr">
        <is>
          <t>PVH</t>
        </is>
      </c>
      <c r="C70" s="6" t="inlineStr">
        <is>
          <t>PVH Corp.</t>
        </is>
      </c>
      <c r="D70" s="25" t="inlineStr">
        <is>
          <t>Brands</t>
        </is>
      </c>
      <c r="E70" s="7" t="n">
        <v>4</v>
      </c>
      <c r="F70" s="22">
        <f>E70/E122*100</f>
        <v/>
      </c>
      <c r="G70" s="8">
        <f>G69+F70</f>
        <v/>
      </c>
      <c r="H70" s="23" t="inlineStr">
        <is>
          <t>✓</t>
        </is>
      </c>
    </row>
    <row r="71">
      <c r="A71" s="4" t="n">
        <v>67</v>
      </c>
      <c r="B71" s="5" t="inlineStr">
        <is>
          <t>MCARY</t>
        </is>
      </c>
      <c r="C71" s="6" t="inlineStr">
        <is>
          <t>Mercari</t>
        </is>
      </c>
      <c r="D71" s="21" t="inlineStr">
        <is>
          <t>Marketplaces</t>
        </is>
      </c>
      <c r="E71" s="7" t="n">
        <v>4</v>
      </c>
      <c r="F71" s="22">
        <f>E71/E122*100</f>
        <v/>
      </c>
      <c r="G71" s="8">
        <f>G70+F71</f>
        <v/>
      </c>
      <c r="H71" s="23" t="inlineStr">
        <is>
          <t>✓</t>
        </is>
      </c>
    </row>
    <row r="72">
      <c r="A72" s="4" t="n">
        <v>68</v>
      </c>
      <c r="B72" s="5" t="inlineStr">
        <is>
          <t>CMRC</t>
        </is>
      </c>
      <c r="C72" s="6" t="inlineStr">
        <is>
          <t>Commerce.com (fka BigCommerce)</t>
        </is>
      </c>
      <c r="D72" s="24" t="inlineStr">
        <is>
          <t>Software</t>
        </is>
      </c>
      <c r="E72" s="7" t="n">
        <v>4</v>
      </c>
      <c r="F72" s="22">
        <f>E72/E122*100</f>
        <v/>
      </c>
      <c r="G72" s="8">
        <f>G71+F72</f>
        <v/>
      </c>
      <c r="H72" s="23" t="inlineStr">
        <is>
          <t>✓</t>
        </is>
      </c>
    </row>
    <row r="73">
      <c r="A73" s="4" t="n">
        <v>69</v>
      </c>
      <c r="B73" s="5" t="inlineStr">
        <is>
          <t>DLO</t>
        </is>
      </c>
      <c r="C73" s="6" t="inlineStr">
        <is>
          <t>dLocal</t>
        </is>
      </c>
      <c r="D73" s="24" t="inlineStr">
        <is>
          <t>Software</t>
        </is>
      </c>
      <c r="E73" s="7" t="n">
        <v>4</v>
      </c>
      <c r="F73" s="22">
        <f>E73/E122*100</f>
        <v/>
      </c>
      <c r="G73" s="8">
        <f>G72+F73</f>
        <v/>
      </c>
      <c r="H73" s="23" t="inlineStr">
        <is>
          <t>✓</t>
        </is>
      </c>
    </row>
    <row r="74">
      <c r="A74" s="4" t="n">
        <v>70</v>
      </c>
      <c r="B74" s="5" t="inlineStr">
        <is>
          <t>BILL</t>
        </is>
      </c>
      <c r="C74" s="6" t="inlineStr">
        <is>
          <t>Bill Holdings</t>
        </is>
      </c>
      <c r="D74" s="24" t="inlineStr">
        <is>
          <t>Software</t>
        </is>
      </c>
      <c r="E74" s="7" t="n">
        <v>3.8</v>
      </c>
      <c r="F74" s="22">
        <f>E74/E122*100</f>
        <v/>
      </c>
      <c r="G74" s="8">
        <f>G73+F74</f>
        <v/>
      </c>
      <c r="H74" s="23" t="inlineStr">
        <is>
          <t>✓</t>
        </is>
      </c>
    </row>
    <row r="75">
      <c r="A75" s="4" t="n">
        <v>71</v>
      </c>
      <c r="B75" s="5" t="inlineStr">
        <is>
          <t>BBWI</t>
        </is>
      </c>
      <c r="C75" s="6" t="inlineStr">
        <is>
          <t>Bath &amp; Body Works</t>
        </is>
      </c>
      <c r="D75" s="25" t="inlineStr">
        <is>
          <t>Brands</t>
        </is>
      </c>
      <c r="E75" s="7" t="n">
        <v>3.7</v>
      </c>
      <c r="F75" s="22">
        <f>E75/E122*100</f>
        <v/>
      </c>
      <c r="G75" s="8">
        <f>G74+F75</f>
        <v/>
      </c>
      <c r="H75" s="23" t="inlineStr">
        <is>
          <t>✓</t>
        </is>
      </c>
    </row>
    <row r="76">
      <c r="A76" s="4" t="n">
        <v>72</v>
      </c>
      <c r="B76" s="5" t="inlineStr">
        <is>
          <t>VSCO</t>
        </is>
      </c>
      <c r="C76" s="6" t="inlineStr">
        <is>
          <t>Victoria's Secret &amp; Co.</t>
        </is>
      </c>
      <c r="D76" s="25" t="inlineStr">
        <is>
          <t>Brands</t>
        </is>
      </c>
      <c r="E76" s="7" t="n">
        <v>3.7</v>
      </c>
      <c r="F76" s="22">
        <f>E76/E122*100</f>
        <v/>
      </c>
      <c r="G76" s="8">
        <f>G75+F76</f>
        <v/>
      </c>
      <c r="H76" s="23" t="inlineStr">
        <is>
          <t>✓</t>
        </is>
      </c>
    </row>
    <row r="77">
      <c r="A77" s="4" t="n">
        <v>73</v>
      </c>
      <c r="B77" s="5" t="inlineStr">
        <is>
          <t>KTB</t>
        </is>
      </c>
      <c r="C77" s="6" t="inlineStr">
        <is>
          <t>Kontoor Brands</t>
        </is>
      </c>
      <c r="D77" s="25" t="inlineStr">
        <is>
          <t>Brands</t>
        </is>
      </c>
      <c r="E77" s="7" t="n">
        <v>3.7</v>
      </c>
      <c r="F77" s="22">
        <f>E77/E122*100</f>
        <v/>
      </c>
      <c r="G77" s="8">
        <f>G76+F77</f>
        <v/>
      </c>
      <c r="H77" s="23" t="inlineStr">
        <is>
          <t>✓</t>
        </is>
      </c>
    </row>
    <row r="78">
      <c r="A78" s="4" t="n">
        <v>74</v>
      </c>
      <c r="B78" s="5" t="inlineStr">
        <is>
          <t>FRPT</t>
        </is>
      </c>
      <c r="C78" s="6" t="inlineStr">
        <is>
          <t>Freshpet Inc.</t>
        </is>
      </c>
      <c r="D78" s="25" t="inlineStr">
        <is>
          <t>Brands</t>
        </is>
      </c>
      <c r="E78" s="7" t="n">
        <v>3.4</v>
      </c>
      <c r="F78" s="22">
        <f>E78/E122*100</f>
        <v/>
      </c>
      <c r="G78" s="8">
        <f>G77+F78</f>
        <v/>
      </c>
      <c r="H78" s="23" t="inlineStr">
        <is>
          <t>✓</t>
        </is>
      </c>
    </row>
    <row r="79">
      <c r="A79" s="4" t="n">
        <v>75</v>
      </c>
      <c r="B79" s="5" t="inlineStr">
        <is>
          <t>FSLY</t>
        </is>
      </c>
      <c r="C79" s="6" t="inlineStr">
        <is>
          <t>Fastly</t>
        </is>
      </c>
      <c r="D79" s="24" t="inlineStr">
        <is>
          <t>Software</t>
        </is>
      </c>
      <c r="E79" s="7" t="n">
        <v>3.4</v>
      </c>
      <c r="F79" s="22">
        <f>E79/E122*100</f>
        <v/>
      </c>
      <c r="G79" s="8">
        <f>G78+F79</f>
        <v/>
      </c>
      <c r="H79" s="23" t="inlineStr">
        <is>
          <t>✓</t>
        </is>
      </c>
    </row>
    <row r="80">
      <c r="A80" s="4" t="n">
        <v>76</v>
      </c>
      <c r="B80" s="5" t="inlineStr">
        <is>
          <t>YETI</t>
        </is>
      </c>
      <c r="C80" s="6" t="inlineStr">
        <is>
          <t>YETI Holdings</t>
        </is>
      </c>
      <c r="D80" s="25" t="inlineStr">
        <is>
          <t>Brands</t>
        </is>
      </c>
      <c r="E80" s="7" t="n">
        <v>3</v>
      </c>
      <c r="F80" s="22">
        <f>E80/E122*100</f>
        <v/>
      </c>
      <c r="G80" s="8">
        <f>G79+F80</f>
        <v/>
      </c>
      <c r="H80" s="23" t="inlineStr">
        <is>
          <t>✓</t>
        </is>
      </c>
    </row>
    <row r="81">
      <c r="A81" s="4" t="n">
        <v>77</v>
      </c>
      <c r="B81" s="5" t="inlineStr">
        <is>
          <t>COLM</t>
        </is>
      </c>
      <c r="C81" s="6" t="inlineStr">
        <is>
          <t>Columbia Sportswear</t>
        </is>
      </c>
      <c r="D81" s="25" t="inlineStr">
        <is>
          <t>Brands</t>
        </is>
      </c>
      <c r="E81" s="7" t="n">
        <v>3</v>
      </c>
      <c r="F81" s="22">
        <f>E81/E122*100</f>
        <v/>
      </c>
      <c r="G81" s="8">
        <f>G80+F81</f>
        <v/>
      </c>
      <c r="H81" s="23" t="inlineStr">
        <is>
          <t>✓</t>
        </is>
      </c>
    </row>
    <row r="82">
      <c r="A82" s="4" t="n">
        <v>78</v>
      </c>
      <c r="B82" s="5" t="inlineStr">
        <is>
          <t>COCO</t>
        </is>
      </c>
      <c r="C82" s="6" t="inlineStr">
        <is>
          <t>The Vita Coco Company</t>
        </is>
      </c>
      <c r="D82" s="25" t="inlineStr">
        <is>
          <t>Brands</t>
        </is>
      </c>
      <c r="E82" s="7" t="n">
        <v>2.8</v>
      </c>
      <c r="F82" s="22">
        <f>E82/E122*100</f>
        <v/>
      </c>
      <c r="G82" s="8">
        <f>G81+F82</f>
        <v/>
      </c>
      <c r="H82" s="23" t="inlineStr">
        <is>
          <t>✓</t>
        </is>
      </c>
    </row>
    <row r="83">
      <c r="A83" s="4" t="n">
        <v>79</v>
      </c>
      <c r="B83" s="5" t="inlineStr">
        <is>
          <t>WRBY</t>
        </is>
      </c>
      <c r="C83" s="6" t="inlineStr">
        <is>
          <t>Warby Parker Inc.</t>
        </is>
      </c>
      <c r="D83" s="25" t="inlineStr">
        <is>
          <t>Brands</t>
        </is>
      </c>
      <c r="E83" s="7" t="n">
        <v>2.6</v>
      </c>
      <c r="F83" s="22">
        <f>E83/E122*100</f>
        <v/>
      </c>
      <c r="G83" s="8">
        <f>G82+F83</f>
        <v/>
      </c>
      <c r="H83" s="23" t="inlineStr">
        <is>
          <t>✓</t>
        </is>
      </c>
    </row>
    <row r="84">
      <c r="A84" s="4" t="n">
        <v>80</v>
      </c>
      <c r="B84" s="5" t="inlineStr">
        <is>
          <t>UAA</t>
        </is>
      </c>
      <c r="C84" s="6" t="inlineStr">
        <is>
          <t>Under Armour Inc.</t>
        </is>
      </c>
      <c r="D84" s="25" t="inlineStr">
        <is>
          <t>Brands</t>
        </is>
      </c>
      <c r="E84" s="7" t="n">
        <v>2.6</v>
      </c>
      <c r="F84" s="22">
        <f>E84/E122*100</f>
        <v/>
      </c>
      <c r="G84" s="8">
        <f>G83+F84</f>
        <v/>
      </c>
      <c r="H84" s="23" t="inlineStr">
        <is>
          <t>✓</t>
        </is>
      </c>
    </row>
    <row r="85">
      <c r="A85" s="4" t="n">
        <v>81</v>
      </c>
      <c r="B85" s="5" t="inlineStr">
        <is>
          <t>CPRI</t>
        </is>
      </c>
      <c r="C85" s="6" t="inlineStr">
        <is>
          <t>Capri Holdings</t>
        </is>
      </c>
      <c r="D85" s="25" t="inlineStr">
        <is>
          <t>Brands</t>
        </is>
      </c>
      <c r="E85" s="7" t="n">
        <v>2.6</v>
      </c>
      <c r="F85" s="22">
        <f>E85/E122*100</f>
        <v/>
      </c>
      <c r="G85" s="8">
        <f>G84+F85</f>
        <v/>
      </c>
      <c r="H85" s="23" t="inlineStr">
        <is>
          <t>✓</t>
        </is>
      </c>
    </row>
    <row r="86">
      <c r="A86" s="4" t="n">
        <v>82</v>
      </c>
      <c r="B86" s="5" t="inlineStr">
        <is>
          <t>BRZE</t>
        </is>
      </c>
      <c r="C86" s="6" t="inlineStr">
        <is>
          <t>Braze</t>
        </is>
      </c>
      <c r="D86" s="24" t="inlineStr">
        <is>
          <t>Software</t>
        </is>
      </c>
      <c r="E86" s="7" t="n">
        <v>2.6</v>
      </c>
      <c r="F86" s="22">
        <f>E86/E122*100</f>
        <v/>
      </c>
      <c r="G86" s="8">
        <f>G85+F86</f>
        <v/>
      </c>
      <c r="H86" s="23" t="inlineStr">
        <is>
          <t>✓</t>
        </is>
      </c>
    </row>
    <row r="87">
      <c r="A87" s="4" t="n">
        <v>83</v>
      </c>
      <c r="B87" s="5" t="inlineStr">
        <is>
          <t>SHOO</t>
        </is>
      </c>
      <c r="C87" s="6" t="inlineStr">
        <is>
          <t>Steven Madden Ltd.</t>
        </is>
      </c>
      <c r="D87" s="25" t="inlineStr">
        <is>
          <t>Brands</t>
        </is>
      </c>
      <c r="E87" s="7" t="n">
        <v>2.4</v>
      </c>
      <c r="F87" s="22">
        <f>E87/E122*100</f>
        <v/>
      </c>
      <c r="G87" s="8">
        <f>G86+F87</f>
        <v/>
      </c>
      <c r="H87" s="23" t="inlineStr">
        <is>
          <t>✓</t>
        </is>
      </c>
    </row>
    <row r="88">
      <c r="A88" s="4" t="n">
        <v>84</v>
      </c>
      <c r="B88" s="5" t="inlineStr">
        <is>
          <t>SEZL</t>
        </is>
      </c>
      <c r="C88" s="6" t="inlineStr">
        <is>
          <t>Sezzle</t>
        </is>
      </c>
      <c r="D88" s="24" t="inlineStr">
        <is>
          <t>Software</t>
        </is>
      </c>
      <c r="E88" s="7" t="n">
        <v>2.4</v>
      </c>
      <c r="F88" s="22">
        <f>E88/E122*100</f>
        <v/>
      </c>
      <c r="G88" s="8">
        <f>G87+F88</f>
        <v/>
      </c>
      <c r="H88" s="23" t="inlineStr">
        <is>
          <t>✓</t>
        </is>
      </c>
    </row>
    <row r="89">
      <c r="A89" s="4" t="n">
        <v>85</v>
      </c>
      <c r="B89" s="5" t="inlineStr">
        <is>
          <t>FIGS</t>
        </is>
      </c>
      <c r="C89" s="6" t="inlineStr">
        <is>
          <t>FIGS Inc.</t>
        </is>
      </c>
      <c r="D89" s="25" t="inlineStr">
        <is>
          <t>Brands</t>
        </is>
      </c>
      <c r="E89" s="7" t="n">
        <v>2.3</v>
      </c>
      <c r="F89" s="22">
        <f>E89/E122*100</f>
        <v/>
      </c>
      <c r="G89" s="8">
        <f>G88+F89</f>
        <v/>
      </c>
      <c r="H89" s="23" t="inlineStr">
        <is>
          <t>✓</t>
        </is>
      </c>
    </row>
    <row r="90">
      <c r="A90" s="4" t="n">
        <v>86</v>
      </c>
      <c r="B90" s="5" t="inlineStr">
        <is>
          <t>HBI</t>
        </is>
      </c>
      <c r="C90" s="6" t="inlineStr">
        <is>
          <t>Hanesbrands Inc.</t>
        </is>
      </c>
      <c r="D90" s="25" t="inlineStr">
        <is>
          <t>Brands</t>
        </is>
      </c>
      <c r="E90" s="7" t="n">
        <v>2.3</v>
      </c>
      <c r="F90" s="22">
        <f>E90/E122*100</f>
        <v/>
      </c>
      <c r="G90" s="8">
        <f>G89+F90</f>
        <v/>
      </c>
      <c r="H90" s="23" t="inlineStr">
        <is>
          <t>✓</t>
        </is>
      </c>
    </row>
    <row r="91">
      <c r="A91" s="4" t="n">
        <v>87</v>
      </c>
      <c r="B91" s="5" t="inlineStr">
        <is>
          <t>PTON</t>
        </is>
      </c>
      <c r="C91" s="6" t="inlineStr">
        <is>
          <t>Peloton Interactive</t>
        </is>
      </c>
      <c r="D91" s="25" t="inlineStr">
        <is>
          <t>Brands</t>
        </is>
      </c>
      <c r="E91" s="7" t="n">
        <v>2</v>
      </c>
      <c r="F91" s="22">
        <f>E91/E122*100</f>
        <v/>
      </c>
      <c r="G91" s="8">
        <f>G90+F91</f>
        <v/>
      </c>
      <c r="H91" s="23" t="inlineStr">
        <is>
          <t>✓</t>
        </is>
      </c>
    </row>
    <row r="92">
      <c r="A92" s="4" t="n">
        <v>88</v>
      </c>
      <c r="B92" s="5" t="inlineStr">
        <is>
          <t>SONO</t>
        </is>
      </c>
      <c r="C92" s="6" t="inlineStr">
        <is>
          <t>Sonos Inc.</t>
        </is>
      </c>
      <c r="D92" s="25" t="inlineStr">
        <is>
          <t>Brands</t>
        </is>
      </c>
      <c r="E92" s="7" t="n">
        <v>2</v>
      </c>
      <c r="F92" s="22">
        <f>E92/E122*100</f>
        <v/>
      </c>
      <c r="G92" s="8">
        <f>G91+F92</f>
        <v/>
      </c>
      <c r="H92" s="23" t="inlineStr">
        <is>
          <t>✓</t>
        </is>
      </c>
    </row>
    <row r="93">
      <c r="A93" s="4" t="n">
        <v>89</v>
      </c>
      <c r="B93" s="5" t="inlineStr">
        <is>
          <t>RVLV</t>
        </is>
      </c>
      <c r="C93" s="6" t="inlineStr">
        <is>
          <t>Revolve Group Inc.</t>
        </is>
      </c>
      <c r="D93" s="25" t="inlineStr">
        <is>
          <t>Brands</t>
        </is>
      </c>
      <c r="E93" s="7" t="n">
        <v>1.8</v>
      </c>
      <c r="F93" s="22">
        <f>E93/E122*100</f>
        <v/>
      </c>
      <c r="G93" s="8">
        <f>G92+F93</f>
        <v/>
      </c>
      <c r="H93" s="23" t="inlineStr">
        <is>
          <t>✓</t>
        </is>
      </c>
    </row>
    <row r="94">
      <c r="A94" s="4" t="n">
        <v>90</v>
      </c>
      <c r="B94" s="5" t="inlineStr">
        <is>
          <t>MQ</t>
        </is>
      </c>
      <c r="C94" s="6" t="inlineStr">
        <is>
          <t>Marqeta</t>
        </is>
      </c>
      <c r="D94" s="24" t="inlineStr">
        <is>
          <t>Software</t>
        </is>
      </c>
      <c r="E94" s="7" t="n">
        <v>1.8</v>
      </c>
      <c r="F94" s="22">
        <f>E94/E122*100</f>
        <v/>
      </c>
      <c r="G94" s="8">
        <f>G93+F94</f>
        <v/>
      </c>
      <c r="H94" s="23" t="inlineStr">
        <is>
          <t>✓</t>
        </is>
      </c>
    </row>
    <row r="95">
      <c r="A95" s="4" t="n">
        <v>91</v>
      </c>
      <c r="B95" s="5" t="inlineStr">
        <is>
          <t>PAYO</t>
        </is>
      </c>
      <c r="C95" s="6" t="inlineStr">
        <is>
          <t>Payoneer</t>
        </is>
      </c>
      <c r="D95" s="24" t="inlineStr">
        <is>
          <t>Software</t>
        </is>
      </c>
      <c r="E95" s="7" t="n">
        <v>1.8</v>
      </c>
      <c r="F95" s="22">
        <f>E95/E122*100</f>
        <v/>
      </c>
      <c r="G95" s="8">
        <f>G94+F95</f>
        <v/>
      </c>
      <c r="H95" s="23" t="inlineStr">
        <is>
          <t>✓</t>
        </is>
      </c>
    </row>
    <row r="96">
      <c r="A96" s="4" t="n">
        <v>92</v>
      </c>
      <c r="B96" s="5" t="inlineStr">
        <is>
          <t>RAMP</t>
        </is>
      </c>
      <c r="C96" s="6" t="inlineStr">
        <is>
          <t>LiveRamp</t>
        </is>
      </c>
      <c r="D96" s="24" t="inlineStr">
        <is>
          <t>Software</t>
        </is>
      </c>
      <c r="E96" s="7" t="n">
        <v>1.7</v>
      </c>
      <c r="F96" s="22">
        <f>E96/E122*100</f>
        <v/>
      </c>
      <c r="G96" s="8">
        <f>G95+F96</f>
        <v/>
      </c>
      <c r="H96" s="23" t="inlineStr">
        <is>
          <t>✓</t>
        </is>
      </c>
    </row>
    <row r="97">
      <c r="A97" s="4" t="n">
        <v>93</v>
      </c>
      <c r="B97" s="5" t="inlineStr">
        <is>
          <t>DV</t>
        </is>
      </c>
      <c r="C97" s="6" t="inlineStr">
        <is>
          <t>DoubleVerify</t>
        </is>
      </c>
      <c r="D97" s="24" t="inlineStr">
        <is>
          <t>Software</t>
        </is>
      </c>
      <c r="E97" s="7" t="n">
        <v>1.7</v>
      </c>
      <c r="F97" s="22">
        <f>E97/E122*100</f>
        <v/>
      </c>
      <c r="G97" s="8">
        <f>G96+F97</f>
        <v/>
      </c>
      <c r="H97" s="23" t="inlineStr">
        <is>
          <t>✓</t>
        </is>
      </c>
    </row>
    <row r="98">
      <c r="A98" s="4" t="n">
        <v>94</v>
      </c>
      <c r="B98" s="5" t="inlineStr">
        <is>
          <t>FLYW</t>
        </is>
      </c>
      <c r="C98" s="6" t="inlineStr">
        <is>
          <t>Flywire</t>
        </is>
      </c>
      <c r="D98" s="24" t="inlineStr">
        <is>
          <t>Software</t>
        </is>
      </c>
      <c r="E98" s="7" t="n">
        <v>1.6</v>
      </c>
      <c r="F98" s="22">
        <f>E98/E122*100</f>
        <v/>
      </c>
      <c r="G98" s="8">
        <f>G97+F98</f>
        <v/>
      </c>
      <c r="H98" s="23" t="inlineStr">
        <is>
          <t>✓</t>
        </is>
      </c>
    </row>
    <row r="99">
      <c r="A99" s="4" t="n">
        <v>95</v>
      </c>
      <c r="B99" s="5" t="inlineStr">
        <is>
          <t>OLPX</t>
        </is>
      </c>
      <c r="C99" s="6" t="inlineStr">
        <is>
          <t>Olaplex Holdings</t>
        </is>
      </c>
      <c r="D99" s="25" t="inlineStr">
        <is>
          <t>Brands</t>
        </is>
      </c>
      <c r="E99" s="7" t="n">
        <v>1.4</v>
      </c>
      <c r="F99" s="22">
        <f>E99/E122*100</f>
        <v/>
      </c>
      <c r="G99" s="8">
        <f>G98+F99</f>
        <v/>
      </c>
      <c r="H99" s="23" t="inlineStr">
        <is>
          <t>✓</t>
        </is>
      </c>
    </row>
    <row r="100">
      <c r="A100" s="4" t="n">
        <v>96</v>
      </c>
      <c r="B100" s="5" t="inlineStr">
        <is>
          <t>WWW</t>
        </is>
      </c>
      <c r="C100" s="6" t="inlineStr">
        <is>
          <t>Wolverine World Wide</t>
        </is>
      </c>
      <c r="D100" s="25" t="inlineStr">
        <is>
          <t>Brands</t>
        </is>
      </c>
      <c r="E100" s="7" t="n">
        <v>1.3</v>
      </c>
      <c r="F100" s="22">
        <f>E100/E122*100</f>
        <v/>
      </c>
      <c r="G100" s="8">
        <f>G99+F100</f>
        <v/>
      </c>
      <c r="H100" s="23" t="inlineStr">
        <is>
          <t>✓</t>
        </is>
      </c>
    </row>
    <row r="101">
      <c r="A101" s="4" t="n">
        <v>97</v>
      </c>
      <c r="B101" s="5" t="inlineStr">
        <is>
          <t>GIII</t>
        </is>
      </c>
      <c r="C101" s="6" t="inlineStr">
        <is>
          <t>G-III Apparel Group</t>
        </is>
      </c>
      <c r="D101" s="25" t="inlineStr">
        <is>
          <t>Brands</t>
        </is>
      </c>
      <c r="E101" s="7" t="n">
        <v>1.3</v>
      </c>
      <c r="F101" s="22">
        <f>E101/E122*100</f>
        <v/>
      </c>
      <c r="G101" s="8">
        <f>G100+F101</f>
        <v/>
      </c>
      <c r="H101" s="23" t="inlineStr">
        <is>
          <t>✓</t>
        </is>
      </c>
    </row>
    <row r="102">
      <c r="A102" s="4" t="n">
        <v>98</v>
      </c>
      <c r="B102" s="5" t="inlineStr">
        <is>
          <t>CRI</t>
        </is>
      </c>
      <c r="C102" s="6" t="inlineStr">
        <is>
          <t>Carter's Inc.</t>
        </is>
      </c>
      <c r="D102" s="25" t="inlineStr">
        <is>
          <t>Brands</t>
        </is>
      </c>
      <c r="E102" s="7" t="n">
        <v>1.3</v>
      </c>
      <c r="F102" s="22">
        <f>E102/E122*100</f>
        <v/>
      </c>
      <c r="G102" s="8">
        <f>G101+F102</f>
        <v/>
      </c>
      <c r="H102" s="23" t="inlineStr">
        <is>
          <t>✓</t>
        </is>
      </c>
    </row>
    <row r="103">
      <c r="A103" s="4" t="n">
        <v>99</v>
      </c>
      <c r="B103" s="5" t="inlineStr">
        <is>
          <t>CXM</t>
        </is>
      </c>
      <c r="C103" s="6" t="inlineStr">
        <is>
          <t>Sprinklr</t>
        </is>
      </c>
      <c r="D103" s="24" t="inlineStr">
        <is>
          <t>Software</t>
        </is>
      </c>
      <c r="E103" s="7" t="n">
        <v>1.3</v>
      </c>
      <c r="F103" s="22">
        <f>E103/E122*100</f>
        <v/>
      </c>
      <c r="G103" s="8">
        <f>G102+F103</f>
        <v/>
      </c>
      <c r="H103" s="23" t="inlineStr">
        <is>
          <t>✓</t>
        </is>
      </c>
    </row>
    <row r="104">
      <c r="A104" s="4" t="n">
        <v>100</v>
      </c>
      <c r="B104" s="5" t="inlineStr">
        <is>
          <t>LSPD</t>
        </is>
      </c>
      <c r="C104" s="6" t="inlineStr">
        <is>
          <t>Lightspeed Commerce</t>
        </is>
      </c>
      <c r="D104" s="24" t="inlineStr">
        <is>
          <t>Software</t>
        </is>
      </c>
      <c r="E104" s="7" t="n">
        <v>1.3</v>
      </c>
      <c r="F104" s="22">
        <f>E104/E122*100</f>
        <v/>
      </c>
      <c r="G104" s="8">
        <f>G103+F104</f>
        <v/>
      </c>
      <c r="H104" s="23" t="inlineStr">
        <is>
          <t>✓</t>
        </is>
      </c>
    </row>
    <row r="105">
      <c r="A105" s="4" t="n">
        <v>101</v>
      </c>
      <c r="B105" s="5" t="inlineStr">
        <is>
          <t>REAL</t>
        </is>
      </c>
      <c r="C105" s="6" t="inlineStr">
        <is>
          <t>The RealReal</t>
        </is>
      </c>
      <c r="D105" s="21" t="inlineStr">
        <is>
          <t>Marketplaces</t>
        </is>
      </c>
      <c r="E105" s="7" t="n">
        <v>1.2</v>
      </c>
      <c r="F105" s="22">
        <f>E105/E122*100</f>
        <v/>
      </c>
      <c r="G105" s="8">
        <f>G104+F105</f>
        <v/>
      </c>
      <c r="H105" s="26" t="inlineStr"/>
    </row>
    <row r="106">
      <c r="A106" s="4" t="n">
        <v>102</v>
      </c>
      <c r="B106" s="5" t="inlineStr">
        <is>
          <t>GOOS</t>
        </is>
      </c>
      <c r="C106" s="6" t="inlineStr">
        <is>
          <t>Canada Goose</t>
        </is>
      </c>
      <c r="D106" s="25" t="inlineStr">
        <is>
          <t>Brands</t>
        </is>
      </c>
      <c r="E106" s="7" t="n">
        <v>1.1</v>
      </c>
      <c r="F106" s="22">
        <f>E106/E122*100</f>
        <v/>
      </c>
      <c r="G106" s="8">
        <f>G105+F106</f>
        <v/>
      </c>
      <c r="H106" s="26" t="inlineStr"/>
    </row>
    <row r="107">
      <c r="A107" s="4" t="n">
        <v>103</v>
      </c>
      <c r="B107" s="5" t="inlineStr">
        <is>
          <t>PGY</t>
        </is>
      </c>
      <c r="C107" s="6" t="inlineStr">
        <is>
          <t>Pagaya Technologies</t>
        </is>
      </c>
      <c r="D107" s="24" t="inlineStr">
        <is>
          <t>Software</t>
        </is>
      </c>
      <c r="E107" s="7" t="n">
        <v>1.1</v>
      </c>
      <c r="F107" s="22">
        <f>E107/E122*100</f>
        <v/>
      </c>
      <c r="G107" s="8">
        <f>G106+F107</f>
        <v/>
      </c>
      <c r="H107" s="26" t="inlineStr"/>
    </row>
    <row r="108">
      <c r="A108" s="4" t="n">
        <v>104</v>
      </c>
      <c r="B108" s="5" t="inlineStr">
        <is>
          <t>JMIA</t>
        </is>
      </c>
      <c r="C108" s="6" t="inlineStr">
        <is>
          <t>Jumia Technologies</t>
        </is>
      </c>
      <c r="D108" s="21" t="inlineStr">
        <is>
          <t>Marketplaces</t>
        </is>
      </c>
      <c r="E108" s="7" t="n">
        <v>1</v>
      </c>
      <c r="F108" s="22">
        <f>E108/E122*100</f>
        <v/>
      </c>
      <c r="G108" s="8">
        <f>G107+F108</f>
        <v/>
      </c>
      <c r="H108" s="26" t="inlineStr"/>
    </row>
    <row r="109">
      <c r="A109" s="4" t="n">
        <v>105</v>
      </c>
      <c r="B109" s="5" t="inlineStr">
        <is>
          <t>TBLA</t>
        </is>
      </c>
      <c r="C109" s="6" t="inlineStr">
        <is>
          <t>Taboola</t>
        </is>
      </c>
      <c r="D109" s="24" t="inlineStr">
        <is>
          <t>Software</t>
        </is>
      </c>
      <c r="E109" s="7" t="n">
        <v>1</v>
      </c>
      <c r="F109" s="22">
        <f>E109/E122*100</f>
        <v/>
      </c>
      <c r="G109" s="8">
        <f>G108+F109</f>
        <v/>
      </c>
      <c r="H109" s="26" t="inlineStr"/>
    </row>
    <row r="110">
      <c r="A110" s="4" t="n">
        <v>106</v>
      </c>
      <c r="B110" s="5" t="inlineStr">
        <is>
          <t>CRTO</t>
        </is>
      </c>
      <c r="C110" s="6" t="inlineStr">
        <is>
          <t>Criteo</t>
        </is>
      </c>
      <c r="D110" s="24" t="inlineStr">
        <is>
          <t>Software</t>
        </is>
      </c>
      <c r="E110" s="7" t="n">
        <v>1</v>
      </c>
      <c r="F110" s="22">
        <f>E110/E122*100</f>
        <v/>
      </c>
      <c r="G110" s="8">
        <f>G109+F110</f>
        <v/>
      </c>
      <c r="H110" s="26" t="inlineStr"/>
    </row>
    <row r="111">
      <c r="A111" s="4" t="n">
        <v>107</v>
      </c>
      <c r="B111" s="5" t="inlineStr">
        <is>
          <t>AMPL</t>
        </is>
      </c>
      <c r="C111" s="6" t="inlineStr">
        <is>
          <t>Amplitude</t>
        </is>
      </c>
      <c r="D111" s="24" t="inlineStr">
        <is>
          <t>Software</t>
        </is>
      </c>
      <c r="E111" s="7" t="n">
        <v>0.9</v>
      </c>
      <c r="F111" s="22">
        <f>E111/E122*100</f>
        <v/>
      </c>
      <c r="G111" s="8">
        <f>G110+F111</f>
        <v/>
      </c>
      <c r="H111" s="26" t="inlineStr"/>
    </row>
    <row r="112">
      <c r="A112" s="4" t="n">
        <v>108</v>
      </c>
      <c r="B112" s="5" t="inlineStr">
        <is>
          <t>ODD</t>
        </is>
      </c>
      <c r="C112" s="6" t="inlineStr">
        <is>
          <t>Oddity Tech Ltd.</t>
        </is>
      </c>
      <c r="D112" s="25" t="inlineStr">
        <is>
          <t>Brands</t>
        </is>
      </c>
      <c r="E112" s="7" t="n">
        <v>0.78</v>
      </c>
      <c r="F112" s="22">
        <f>E112/E122*100</f>
        <v/>
      </c>
      <c r="G112" s="8">
        <f>G111+F112</f>
        <v/>
      </c>
      <c r="H112" s="26" t="inlineStr"/>
    </row>
    <row r="113">
      <c r="A113" s="4" t="n">
        <v>109</v>
      </c>
      <c r="B113" s="5" t="inlineStr">
        <is>
          <t>VTEX</t>
        </is>
      </c>
      <c r="C113" s="6" t="inlineStr">
        <is>
          <t>VTEX</t>
        </is>
      </c>
      <c r="D113" s="24" t="inlineStr">
        <is>
          <t>Software</t>
        </is>
      </c>
      <c r="E113" s="7" t="n">
        <v>0.7</v>
      </c>
      <c r="F113" s="22">
        <f>E113/E122*100</f>
        <v/>
      </c>
      <c r="G113" s="8">
        <f>G112+F113</f>
        <v/>
      </c>
      <c r="H113" s="26" t="inlineStr"/>
    </row>
    <row r="114">
      <c r="A114" s="4" t="n">
        <v>110</v>
      </c>
      <c r="B114" s="5" t="inlineStr">
        <is>
          <t>RSKD</t>
        </is>
      </c>
      <c r="C114" s="6" t="inlineStr">
        <is>
          <t>Riskified</t>
        </is>
      </c>
      <c r="D114" s="24" t="inlineStr">
        <is>
          <t>Software</t>
        </is>
      </c>
      <c r="E114" s="7" t="n">
        <v>0.6</v>
      </c>
      <c r="F114" s="22">
        <f>E114/E122*100</f>
        <v/>
      </c>
      <c r="G114" s="8">
        <f>G113+F114</f>
        <v/>
      </c>
      <c r="H114" s="26" t="inlineStr"/>
    </row>
    <row r="115">
      <c r="A115" s="4" t="n">
        <v>111</v>
      </c>
      <c r="B115" s="5" t="inlineStr">
        <is>
          <t>TDUP</t>
        </is>
      </c>
      <c r="C115" s="6" t="inlineStr">
        <is>
          <t>ThredUp</t>
        </is>
      </c>
      <c r="D115" s="21" t="inlineStr">
        <is>
          <t>Marketplaces</t>
        </is>
      </c>
      <c r="E115" s="7" t="n">
        <v>0.45</v>
      </c>
      <c r="F115" s="22">
        <f>E115/E122*100</f>
        <v/>
      </c>
      <c r="G115" s="8">
        <f>G114+F115</f>
        <v/>
      </c>
      <c r="H115" s="26" t="inlineStr"/>
    </row>
    <row r="116">
      <c r="A116" s="4" t="n">
        <v>112</v>
      </c>
      <c r="B116" s="5" t="inlineStr">
        <is>
          <t>SFIX</t>
        </is>
      </c>
      <c r="C116" s="6" t="inlineStr">
        <is>
          <t>Stitch Fix Inc.</t>
        </is>
      </c>
      <c r="D116" s="25" t="inlineStr">
        <is>
          <t>Brands</t>
        </is>
      </c>
      <c r="E116" s="7" t="n">
        <v>0.44</v>
      </c>
      <c r="F116" s="22">
        <f>E116/E122*100</f>
        <v/>
      </c>
      <c r="G116" s="8">
        <f>G115+F116</f>
        <v/>
      </c>
      <c r="H116" s="26" t="inlineStr"/>
    </row>
    <row r="117">
      <c r="A117" s="4" t="n">
        <v>113</v>
      </c>
      <c r="B117" s="5" t="inlineStr">
        <is>
          <t>HNST</t>
        </is>
      </c>
      <c r="C117" s="6" t="inlineStr">
        <is>
          <t>The Honest Company</t>
        </is>
      </c>
      <c r="D117" s="25" t="inlineStr">
        <is>
          <t>Brands</t>
        </is>
      </c>
      <c r="E117" s="7" t="n">
        <v>0.34</v>
      </c>
      <c r="F117" s="22">
        <f>E117/E122*100</f>
        <v/>
      </c>
      <c r="G117" s="8">
        <f>G116+F117</f>
        <v/>
      </c>
      <c r="H117" s="26" t="inlineStr"/>
    </row>
    <row r="118">
      <c r="A118" s="4" t="n">
        <v>114</v>
      </c>
      <c r="B118" s="5" t="inlineStr">
        <is>
          <t>XPOF</t>
        </is>
      </c>
      <c r="C118" s="6" t="inlineStr">
        <is>
          <t>Xponential Fitness</t>
        </is>
      </c>
      <c r="D118" s="25" t="inlineStr">
        <is>
          <t>Brands</t>
        </is>
      </c>
      <c r="E118" s="7" t="n">
        <v>0.28</v>
      </c>
      <c r="F118" s="22">
        <f>E118/E122*100</f>
        <v/>
      </c>
      <c r="G118" s="8">
        <f>G117+F118</f>
        <v/>
      </c>
      <c r="H118" s="26" t="inlineStr"/>
    </row>
    <row r="119">
      <c r="A119" s="4" t="n">
        <v>115</v>
      </c>
      <c r="B119" s="5" t="inlineStr">
        <is>
          <t>LOVE</t>
        </is>
      </c>
      <c r="C119" s="6" t="inlineStr">
        <is>
          <t>The Lovesac Company</t>
        </is>
      </c>
      <c r="D119" s="25" t="inlineStr">
        <is>
          <t>Brands</t>
        </is>
      </c>
      <c r="E119" s="7" t="n">
        <v>0.22</v>
      </c>
      <c r="F119" s="22">
        <f>E119/E122*100</f>
        <v/>
      </c>
      <c r="G119" s="8">
        <f>G118+F119</f>
        <v/>
      </c>
      <c r="H119" s="26" t="inlineStr"/>
    </row>
    <row r="120">
      <c r="A120" s="4" t="n">
        <v>116</v>
      </c>
      <c r="B120" s="5" t="inlineStr">
        <is>
          <t>DIBS</t>
        </is>
      </c>
      <c r="C120" s="6" t="inlineStr">
        <is>
          <t>1stDibs.Com Inc.</t>
        </is>
      </c>
      <c r="D120" s="21" t="inlineStr">
        <is>
          <t>Marketplaces</t>
        </is>
      </c>
      <c r="E120" s="7" t="n">
        <v>0.21</v>
      </c>
      <c r="F120" s="22">
        <f>E120/E122*100</f>
        <v/>
      </c>
      <c r="G120" s="8">
        <f>G119+F120</f>
        <v/>
      </c>
      <c r="H120" s="26" t="inlineStr"/>
    </row>
    <row r="121">
      <c r="A121" s="4" t="n">
        <v>117</v>
      </c>
      <c r="B121" s="5" t="inlineStr">
        <is>
          <t>RENT</t>
        </is>
      </c>
      <c r="C121" s="6" t="inlineStr">
        <is>
          <t>Rent the Runway</t>
        </is>
      </c>
      <c r="D121" s="25" t="inlineStr">
        <is>
          <t>Brands</t>
        </is>
      </c>
      <c r="E121" s="7" t="n">
        <v>0.19</v>
      </c>
      <c r="F121" s="22">
        <f>E121/E122*100</f>
        <v/>
      </c>
      <c r="G121" s="8">
        <f>G120+F121</f>
        <v/>
      </c>
      <c r="H121" s="26" t="inlineStr"/>
    </row>
    <row r="122">
      <c r="A122" s="27" t="n"/>
      <c r="B122" s="27" t="n"/>
      <c r="C122" s="28" t="inlineStr">
        <is>
          <t>TOTAL</t>
        </is>
      </c>
      <c r="D122" s="28" t="inlineStr">
        <is>
          <t>117 stocks</t>
        </is>
      </c>
      <c r="E122" s="29">
        <f>SUM(E5:E121)</f>
        <v/>
      </c>
      <c r="F122" s="28" t="n">
        <v>100</v>
      </c>
      <c r="G122" s="28" t="n">
        <v>100</v>
      </c>
      <c r="H122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0" t="inlineStr">
        <is>
          <t>DC Index Family — Weighting Methodology</t>
        </is>
      </c>
    </row>
    <row r="2">
      <c r="A2" t="inlineStr"/>
    </row>
    <row r="3">
      <c r="A3" s="31" t="inlineStr">
        <is>
          <t>INDEX TYPE</t>
        </is>
      </c>
    </row>
    <row r="4">
      <c r="A4" s="32" t="inlineStr">
        <is>
          <t>Market-Capitalization Weighted (same methodology as S&amp;P 500, NASDAQ Composite, FTSE 100)</t>
        </is>
      </c>
    </row>
    <row r="5">
      <c r="A5" t="inlineStr"/>
    </row>
    <row r="6">
      <c r="A6" s="31" t="inlineStr">
        <is>
          <t>BASE PARAMETERS</t>
        </is>
      </c>
    </row>
    <row r="7">
      <c r="A7" s="32" t="inlineStr">
        <is>
          <t>Base Date: January 2, 2024</t>
        </is>
      </c>
    </row>
    <row r="8">
      <c r="A8" s="32" t="inlineStr">
        <is>
          <t>Base Value: 100.00</t>
        </is>
      </c>
    </row>
    <row r="9">
      <c r="A9" s="2" t="inlineStr">
        <is>
          <t>All four indexes (Brands, Marketplaces, Software, Master) share the same base date and value.</t>
        </is>
      </c>
    </row>
    <row r="10">
      <c r="A10" t="inlineStr"/>
    </row>
    <row r="11">
      <c r="A11" s="31" t="inlineStr">
        <is>
          <t>HOW WEIGHTING WORKS</t>
        </is>
      </c>
    </row>
    <row r="12">
      <c r="A12" s="32" t="inlineStr">
        <is>
          <t>• Each stock's weight = its market cap ÷ total index market cap</t>
        </is>
      </c>
    </row>
    <row r="13">
      <c r="A13" s="32" t="inlineStr">
        <is>
          <t>• Larger companies have proportionally more influence on the index level</t>
        </is>
      </c>
    </row>
    <row r="14">
      <c r="A14" s="32" t="inlineStr">
        <is>
          <t>• Weights naturally adjust daily as share prices (and thus market caps) change</t>
        </is>
      </c>
    </row>
    <row r="15">
      <c r="A15" s="32" t="inlineStr">
        <is>
          <t>• Example: If Amazon is 67% of Marketplaces, a 1% AMZN move = ~0.67% index move</t>
        </is>
      </c>
    </row>
    <row r="16">
      <c r="A16" t="inlineStr"/>
    </row>
    <row r="17">
      <c r="A17" s="31" t="inlineStr">
        <is>
          <t>HOW THE INDEX VALUE IS COMPUTED</t>
        </is>
      </c>
    </row>
    <row r="18">
      <c r="A18" s="33" t="inlineStr">
        <is>
          <t xml:space="preserve">  Index(t) = 100 × Σ[ w(i) × P(i,t) / P(i,base) ]</t>
        </is>
      </c>
    </row>
    <row r="19">
      <c r="A19" t="inlineStr"/>
    </row>
    <row r="20">
      <c r="A20" s="32" t="inlineStr">
        <is>
          <t xml:space="preserve">  Where:</t>
        </is>
      </c>
    </row>
    <row r="21">
      <c r="A21" s="34" t="inlineStr">
        <is>
          <t xml:space="preserve">    w(i) = market_cap(i, base date) / Σ(all market caps, base date)</t>
        </is>
      </c>
    </row>
    <row r="22">
      <c r="A22" s="34" t="inlineStr">
        <is>
          <t xml:space="preserve">    P(i,t) = current price of stock i</t>
        </is>
      </c>
    </row>
    <row r="23">
      <c r="A23" s="34" t="inlineStr">
        <is>
          <t xml:space="preserve">    P(i,base) = closing price of stock i on January 2, 2024</t>
        </is>
      </c>
    </row>
    <row r="24">
      <c r="A24" t="inlineStr"/>
    </row>
    <row r="25">
      <c r="A25" s="35" t="inlineStr">
        <is>
          <t xml:space="preserve">  This means the index tracks the weighted average total return since base date.</t>
        </is>
      </c>
    </row>
    <row r="26">
      <c r="A26" t="inlineStr"/>
    </row>
    <row r="27">
      <c r="A27" s="31" t="inlineStr">
        <is>
          <t>DAILY % CHANGE</t>
        </is>
      </c>
    </row>
    <row r="28">
      <c r="A28" s="36" t="inlineStr">
        <is>
          <t xml:space="preserve">  1D Change = Σ[ w(i) × daily_return(i) ]</t>
        </is>
      </c>
    </row>
    <row r="29">
      <c r="A29" s="32" t="inlineStr">
        <is>
          <t xml:space="preserve">  Each stock's daily % move is scaled by its current weight in the index.</t>
        </is>
      </c>
    </row>
    <row r="30">
      <c r="A30" t="inlineStr"/>
    </row>
    <row r="31">
      <c r="A31" s="31" t="inlineStr">
        <is>
          <t>REBALANCING</t>
        </is>
      </c>
    </row>
    <row r="32">
      <c r="A32" s="32" t="inlineStr">
        <is>
          <t>• Quarterly constituent review — add/remove stocks based on market cap and eligibility</t>
        </is>
      </c>
    </row>
    <row r="33">
      <c r="A33" s="32" t="inlineStr">
        <is>
          <t>• When constituents change, a divisor adjustment prevents the index from jumping</t>
        </is>
      </c>
    </row>
    <row r="34">
      <c r="A34" s="32" t="inlineStr">
        <is>
          <t>• Between rebalances, weights drift naturally with price changes (no daily reweight)</t>
        </is>
      </c>
    </row>
    <row r="35">
      <c r="A35" t="inlineStr"/>
    </row>
    <row r="36">
      <c r="A36" s="31" t="inlineStr">
        <is>
          <t>CONCENTRATION RISK (UNCAPPED)</t>
        </is>
      </c>
    </row>
    <row r="37">
      <c r="A37" s="32" t="inlineStr">
        <is>
          <t>• DC Marketplaces: Amazon = ~67% — single stock dominates</t>
        </is>
      </c>
    </row>
    <row r="38">
      <c r="A38" s="32" t="inlineStr">
        <is>
          <t>• DC Software: Visa + Mastercard = ~58% — two names drive the index</t>
        </is>
      </c>
    </row>
    <row r="39">
      <c r="A39" s="32" t="inlineStr">
        <is>
          <t>• DC Brands: Nike = ~22% — most balanced of the three</t>
        </is>
      </c>
    </row>
    <row r="40">
      <c r="A40" s="32" t="inlineStr">
        <is>
          <t>• DC Index (Master): Amazon alone = ~48% uncapped</t>
        </is>
      </c>
    </row>
    <row r="41">
      <c r="A41" t="inlineStr"/>
    </row>
    <row r="42">
      <c r="A42" s="31" t="inlineStr">
        <is>
          <t>OPTIONAL: CAPPED WEIGHTING</t>
        </is>
      </c>
    </row>
    <row r="43">
      <c r="A43" s="32" t="inlineStr">
        <is>
          <t>• Cap any single stock at 10–20% of index weight</t>
        </is>
      </c>
    </row>
    <row r="44">
      <c r="A44" s="32" t="inlineStr">
        <is>
          <t>• Redistribute excess weight pro-rata to remaining constituents</t>
        </is>
      </c>
    </row>
    <row r="45">
      <c r="A45" s="32" t="inlineStr">
        <is>
          <t>• Prevents any one stock from dominating index performance</t>
        </is>
      </c>
    </row>
    <row r="46">
      <c r="A46" s="32" t="inlineStr">
        <is>
          <t>• Precedent: S&amp;P 500 doesn't cap, but most sector ETFs do (e.g. XLK caps at 25%)</t>
        </is>
      </c>
    </row>
    <row r="47">
      <c r="A47" s="37" t="inlineStr">
        <is>
          <t>• Recommendation: 15% cap for sub-indexes, 10% cap for Master DC Index</t>
        </is>
      </c>
    </row>
    <row r="48">
      <c r="A48" t="inlineStr"/>
    </row>
    <row r="49">
      <c r="A49" s="31" t="inlineStr">
        <is>
          <t>FOUR INDEXES</t>
        </is>
      </c>
    </row>
    <row r="50">
      <c r="A50" s="38" t="inlineStr">
        <is>
          <t>┌─────────────────┬──────┬────────────────────────────────────────────┐</t>
        </is>
      </c>
    </row>
    <row r="51">
      <c r="A51" s="39" t="inlineStr">
        <is>
          <t>│ DC Brands        │  43  │ Public DTC / consumer brands               │</t>
        </is>
      </c>
    </row>
    <row r="52">
      <c r="A52" s="39" t="inlineStr">
        <is>
          <t>│ DC Marketplaces  │  24  │ E-commerce platforms and marketplaces       │</t>
        </is>
      </c>
    </row>
    <row r="53">
      <c r="A53" s="39" t="inlineStr">
        <is>
          <t>│ DC Software      │  50  │ Payments, SaaS, logistics, adtech infra     │</t>
        </is>
      </c>
    </row>
    <row r="54">
      <c r="A54" s="39" t="inlineStr">
        <is>
          <t>│ DC Index (Master)│ 117  │ Union of all three, top 100 by market cap   │</t>
        </is>
      </c>
    </row>
    <row r="55">
      <c r="A55" s="38" t="inlineStr">
        <is>
          <t>└─────────────────┴──────┴────────────────────────────────────────────┘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2026-04-15T18:10:52Z</dcterms:created>
  <dcterms:modified xsi:type="dcterms:W3CDTF">2026-04-15T18:10:52Z</dcterms:modified>
</cp:coreProperties>
</file>